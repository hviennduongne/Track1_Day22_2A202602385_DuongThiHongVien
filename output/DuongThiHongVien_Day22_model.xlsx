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_README" sheetId="1" r:id="rId4"/>
    <sheet state="visible" name="1_Cost_Job" sheetId="2" r:id="rId5"/>
    <sheet state="visible" name="2_Pricing" sheetId="3" r:id="rId6"/>
    <sheet state="visible" name="3_Value_Metric" sheetId="4" r:id="rId7"/>
    <sheet state="visible" name="4_Channel_Fit" sheetId="5" r:id="rId8"/>
    <sheet state="visible" name="5_90Day_Plan" sheetId="6" r:id="rId9"/>
    <sheet state="visible" name="6_Benchmarks" sheetId="7" r:id="rId10"/>
  </sheets>
  <definedNames/>
  <calcPr/>
  <extLst>
    <ext uri="GoogleSheetsCustomDataVersion2">
      <go:sheetsCustomData xmlns:go="http://customooxmlschemas.google.com/" r:id="rId11" roundtripDataChecksum="KwEhlasxMe7vWEpxBJ5CpOqhFT2CjP20aOpe6/N7oi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======
ID#AAACIQEOV6c
Unknown Author    (2026-10-08 02:20:56)
Ví dụ mẫu đang điền sẵn — thay bằng sản phẩm của bạn.</t>
      </text>
    </comment>
  </commentList>
  <extLst>
    <ext uri="GoogleSheetsCustomDataVersion2">
      <go:sheetsCustomData xmlns:go="http://customooxmlschemas.google.com/" r:id="rId1" roundtripDataSignature="AMtx7mgoQQVIu0JqWcx1N/YLtvogVRmYLw=="/>
    </ext>
  </extLst>
</comments>
</file>

<file path=xl/sharedStrings.xml><?xml version="1.0" encoding="utf-8"?>
<sst xmlns="http://schemas.openxmlformats.org/spreadsheetml/2006/main" count="504" uniqueCount="424">
  <si>
    <t>DAY 28 — MONETIZATION MODEL</t>
  </si>
  <si>
    <t>TAB 2 — PRICING SANITY CHECK</t>
  </si>
  <si>
    <t>TAB 1 — COST/JOB CALCULATOR</t>
  </si>
  <si>
    <t>AI Pricing · GTM · Evidence — AI-IN-ACTION Track 1</t>
  </si>
  <si>
    <t>Trạm 1 (S1–S2) và Trạm 3 (S3–S8). Chỉ điền ô vàng.</t>
  </si>
  <si>
    <t>QUY ƯỚC MÀU — CHỈ ĐIỀN VÀO Ô MÀU VÀNG</t>
  </si>
  <si>
    <t>S1. ĐỊNH NGHĨA JOB</t>
  </si>
  <si>
    <t>Trạm 3. Cost/Job tự lấy từ tab 1. Bạn điền giá bán và các con số neo giá.</t>
  </si>
  <si>
    <t>TAB 3 — VALUE METRIC SCORECARD</t>
  </si>
  <si>
    <t>Ô VÀNG, chữ xanh dương</t>
  </si>
  <si>
    <t>GIÁ SÀN</t>
  </si>
  <si>
    <t>Ô bạn phải điền</t>
  </si>
  <si>
    <t>Ô XÁM, chữ đen</t>
  </si>
  <si>
    <t>Công thức tự tính — KHÔNG SỬA</t>
  </si>
  <si>
    <t>Trạm 2. Chấm 0 / 1 / 2 điểm cho mỗi câu, theo THỰC TẾ HÔM NAY.</t>
  </si>
  <si>
    <t>Chữ xanh lá</t>
  </si>
  <si>
    <t>Link sang tab khác</t>
  </si>
  <si>
    <t>A. ATTRIBUTION — bạn đo được kết quả là do AI tạo ra không?</t>
  </si>
  <si>
    <t>Ô XÁM đậm nhạt</t>
  </si>
  <si>
    <t>1 job của bạn là gì?</t>
  </si>
  <si>
    <t>Bảng tham chiếu, chỉ đọc</t>
  </si>
  <si>
    <t>THỨ TỰ LÀM — 6 TRẠM, 120 PHÚT</t>
  </si>
  <si>
    <t>1 ticket được giải quyết xong (khách xác nhận hoặc không hỏi lại)</t>
  </si>
  <si>
    <t>Trạm 1 · 15'</t>
  </si>
  <si>
    <t>Phải là thứ KHÁCH coi là giá trị — không phải '1 request'</t>
  </si>
  <si>
    <t>Ngân sách khách &amp; định nghĩa Job → điền S1–S2 của tab 1_Cost_Job</t>
  </si>
  <si>
    <t>1. Tôi có log đầy đủ mỗi job AI xử lý, gắn được với kết quả cuối cùng</t>
  </si>
  <si>
    <t>Biến thể HITL: A hay B?</t>
  </si>
  <si>
    <t>Trạm 2 · 20'</t>
  </si>
  <si>
    <t>Value Metric → tab 3_Value_Metric</t>
  </si>
  <si>
    <t>Trạm 3 · 30'</t>
  </si>
  <si>
    <t>Cost/Job, giá sàn &amp; giá trần → tab 1_Cost_Job (S3–S8) rồi 2_Pricing</t>
  </si>
  <si>
    <t>Trạm 4 · 20'</t>
  </si>
  <si>
    <t>Kênh phân phối &amp; Affordability Test → tab 4_Channel_Fit</t>
  </si>
  <si>
    <t>Trạm 5 · 15'</t>
  </si>
  <si>
    <t>Pain Moment &amp; 90-Day Plan → tab 5_90Day_Plan</t>
  </si>
  <si>
    <t>Trạm 6 · 20'</t>
  </si>
  <si>
    <t>Evidence Pack &amp; ráp One-Pager → tab 5_90Day_Plan + file .docx</t>
  </si>
  <si>
    <t>B</t>
  </si>
  <si>
    <t>3 QUY TẮC KHÔNG ĐƯỢC PHÁ</t>
  </si>
  <si>
    <t>1. Chia cho số job HOÀN THÀNH, không phải số job đã thử.</t>
  </si>
  <si>
    <t>2. HITL và Retry không được để 0 nếu không có lý do viết ra được.</t>
  </si>
  <si>
    <t>3. Mọi con số giá API phải có NGÀY kiểm tra (xem tab 6_Benchmarks).</t>
  </si>
  <si>
    <t>A = khách tự xử lý ca escalate · B = BẠN chịu (outcome/managed)</t>
  </si>
  <si>
    <t>2. Tôi có bộ eval đo được tỷ lệ AI làm đúng, có số liệu</t>
  </si>
  <si>
    <t>Giá tham chiếu trong workbook này được chốt ngày 26/08/2026. Nhiều mức giá là KHUYẾN MẠI CÓ HẠN.</t>
  </si>
  <si>
    <t>S2. KHỐI LƯỢNG</t>
  </si>
  <si>
    <t>Bạn PHẢI tự mở lại trang giá của nhà cung cấp và cập nhật — đây là một phần của bài tập.</t>
  </si>
  <si>
    <t>Số job THỬ / tháng</t>
  </si>
  <si>
    <t>3. Khách hàng đồng ý với cách tôi định nghĩa 'thành công' của một job</t>
  </si>
  <si>
    <t>4. Tôi phân biệt được kết quả do AI tạo ra với kết quả do yếu tố khác</t>
  </si>
  <si>
    <t>5. Tôi viết được định nghĩa chặt như Intercom: cái gì tính tiền, cái gì không</t>
  </si>
  <si>
    <t>job</t>
  </si>
  <si>
    <t>→ ĐIỂM ATTRIBUTION (tối đa 10)</t>
  </si>
  <si>
    <t>Containment rate (AI tự làm xong)</t>
  </si>
  <si>
    <t>Cost/Job (từ tab 1_Cost_Job)</t>
  </si>
  <si>
    <t>Chưa đo → ước tính và ghi rõ</t>
  </si>
  <si>
    <t>→ Số job HOÀN THÀNH / tháng</t>
  </si>
  <si>
    <t>B. AUTONOMY — AI tự chạy hay cần người?</t>
  </si>
  <si>
    <t>1. AI hoàn thành job từ đầu đến cuối, không cần người bấm nút giữa chừng</t>
  </si>
  <si>
    <t>2. Job chạy được ngoài giờ hành chính mà không ai trực</t>
  </si>
  <si>
    <t>MẪU SỐ của Cost/Job</t>
  </si>
  <si>
    <t>3. Khi AI không chắc, nó tự chuyển tiếp đúng chỗ — không cần người phân loại</t>
  </si>
  <si>
    <t>→ Số job KHÔNG xong / tháng</t>
  </si>
  <si>
    <t>4. Tỷ lệ ca phải có người can thiệp dưới 20%</t>
  </si>
  <si>
    <t>5. Người vận hành chỉ kiểm tra mẫu (QA), không xử lý từng ca</t>
  </si>
  <si>
    <t>$/job</t>
  </si>
  <si>
    <t>→ ĐIỂM AUTONOMY (tối đa 10)</t>
  </si>
  <si>
    <t>Hệ số an toàn tối thiểu</t>
  </si>
  <si>
    <t>Số ca phải escalate</t>
  </si>
  <si>
    <t>S3. API — LLM</t>
  </si>
  <si>
    <t>Giá input ($ / 1M token)</t>
  </si>
  <si>
    <t>×</t>
  </si>
  <si>
    <t>GỢI Ý CỦA MODEL</t>
  </si>
  <si>
    <t>Giá bán ≥ 3 × Cost/Job</t>
  </si>
  <si>
    <t>Claude Haiku 4.5 — xem tab 6_Benchmarks</t>
  </si>
  <si>
    <t>→ GIÁ SÀN</t>
  </si>
  <si>
    <t>Giá output ($ / 1M token)</t>
  </si>
  <si>
    <t>→ Value Metric gợi ý</t>
  </si>
  <si>
    <t>Giá cache WRITE ($ / 1M token)</t>
  </si>
  <si>
    <t>Anthropic 5-phút = 1,25× input</t>
  </si>
  <si>
    <t>Giá cache READ ($ / 1M token)</t>
  </si>
  <si>
    <t>≈ 0,1× input (giảm 90%)</t>
  </si>
  <si>
    <t>Số lượt (turns) / job</t>
  </si>
  <si>
    <t>lượt</t>
  </si>
  <si>
    <t>Token input CACHE ĐƯỢC / lượt</t>
  </si>
  <si>
    <t>token</t>
  </si>
  <si>
    <t>System prompt + KB + few-shot</t>
  </si>
  <si>
    <t>Token input FRESH / lượt</t>
  </si>
  <si>
    <t>Câu hỏi khách + dữ liệu động</t>
  </si>
  <si>
    <t>Token output / lượt</t>
  </si>
  <si>
    <t>→ Cache write / job</t>
  </si>
  <si>
    <t>GIÁ TRẦN — NEO THEO THỨ KHÁCH ĐANG CHI</t>
  </si>
  <si>
    <t>Giá trị khách tiết kiệm được / tháng ($)</t>
  </si>
  <si>
    <t>→ Cache read / job</t>
  </si>
  <si>
    <t>Neo theo giá trị</t>
  </si>
  <si>
    <t>Số job / tháng của 1 khách</t>
  </si>
  <si>
    <t>→ Input fresh / job</t>
  </si>
  <si>
    <t>→ Trần theo giá trị — mức 10%</t>
  </si>
  <si>
    <t>Ngưỡng 7/10 là quy ước của bài tập, không phải chuẩn ngành — dùng để buộc bạn ra quyết định, không phải để thay bạn quyết định.</t>
  </si>
  <si>
    <t>BENCHMARK NGƯỢC — 2 sản phẩm thật cùng loại job</t>
  </si>
  <si>
    <t>Tên sản phẩm</t>
  </si>
  <si>
    <t>→ Output / job</t>
  </si>
  <si>
    <t>Value Metric</t>
  </si>
  <si>
    <t>Giá công bố</t>
  </si>
  <si>
    <t>Link nguồn</t>
  </si>
  <si>
    <t>→ LLM / job — CÓ prompt caching</t>
  </si>
  <si>
    <t>QUYẾT ĐỊNH CUỐI</t>
  </si>
  <si>
    <t>Value Metric tôi chọn</t>
  </si>
  <si>
    <t>Outcome</t>
  </si>
  <si>
    <t>Nếu KHÁC gợi ý — lý do thị trường là gì?</t>
  </si>
  <si>
    <t>→ Trần theo giá trị — mức 25%</t>
  </si>
  <si>
    <t>Decision Note — câu 1: tôi chọn đơn vị nào?</t>
  </si>
  <si>
    <t>→ LLM / job — KHÔNG cache</t>
  </si>
  <si>
    <t>Decision Note — câu 2: bằng chứng Attribution / Autonomy?</t>
  </si>
  <si>
    <t>Decision Note — câu 3: mô hình này lỗ trong tình huống nào?</t>
  </si>
  <si>
    <t>→ % tiết kiệm nhờ caching</t>
  </si>
  <si>
    <t>Lương / tháng của vị trí bị thay ($)</t>
  </si>
  <si>
    <t>Neo theo nhân công</t>
  </si>
  <si>
    <t>Đòn bẩy rẻ nhất bạn có</t>
  </si>
  <si>
    <t>Dùng Batch API? (1 = có, 0 = không)</t>
  </si>
  <si>
    <t>Batch giảm 50% — chỉ khi job KHÔNG cần realtime</t>
  </si>
  <si>
    <t>→ LLM / job sau Batch</t>
  </si>
  <si>
    <t>S4. API — SPEECH (để 0 nếu sản phẩm không có thoại)</t>
  </si>
  <si>
    <t>→ Trần theo nhân công — mức 50%</t>
  </si>
  <si>
    <t>Giá STT ($ / phút)</t>
  </si>
  <si>
    <t>Deepgram streaming list $0,0077/phút</t>
  </si>
  <si>
    <t>Số phút audio / job</t>
  </si>
  <si>
    <t>phút</t>
  </si>
  <si>
    <t>Giá TTS ($ / 1M ký tự)</t>
  </si>
  <si>
    <t>ElevenLabs Flash $50 · Google Standard $4</t>
  </si>
  <si>
    <t>Số ký tự TTS / job</t>
  </si>
  <si>
    <t>ký tự</t>
  </si>
  <si>
    <t>≈ 900 ký tự cho mỗi phút bot nói</t>
  </si>
  <si>
    <t>→ Speech / job</t>
  </si>
  <si>
    <t>→ Trần theo nhân công — mức 70%</t>
  </si>
  <si>
    <t>S5. INFRA</t>
  </si>
  <si>
    <t>Infra / job ($)</t>
  </si>
  <si>
    <t>Vector DB, embedding, storage, logging</t>
  </si>
  <si>
    <t>Telephony ($ / phút)</t>
  </si>
  <si>
    <t>→ Infra / job</t>
  </si>
  <si>
    <t>GIÁ BÁN CỦA BẠN</t>
  </si>
  <si>
    <t>★ Giá bán đề xuất ($ / job)</t>
  </si>
  <si>
    <t>S6. RETRY</t>
  </si>
  <si>
    <t>Tham chiếu: Intercom Fin $0,99 · Zendesk $1,50</t>
  </si>
  <si>
    <t>→ Bội số so với Cost/Job</t>
  </si>
  <si>
    <t>Tỷ lệ job phải chạy lại</t>
  </si>
  <si>
    <t>ĐỪNG để 0%. Thực tế 5–10% là bình thường</t>
  </si>
  <si>
    <t>→ Retry / job</t>
  </si>
  <si>
    <t>S7. HITL — người trong vòng lặp</t>
  </si>
  <si>
    <t>Chi phí nhân sự ($ / giờ, fully-loaded)</t>
  </si>
  <si>
    <t>Gồm lương + bảo hiểm + quản lý + chỗ ngồi</t>
  </si>
  <si>
    <t>% hội thoại QA nội bộ</t>
  </si>
  <si>
    <t>Luôn có, kể cả Biến thể A</t>
  </si>
  <si>
    <t>→ GROSS MARGIN</t>
  </si>
  <si>
    <t>Số phút QA / ca</t>
  </si>
  <si>
    <t>Số phút xử lý 1 ca escalate</t>
  </si>
  <si>
    <t>→ QA nội bộ / tháng</t>
  </si>
  <si>
    <t>→ Đèn: bội số ≥ 3?</t>
  </si>
  <si>
    <t>→ Escalation / tháng (chỉ Biến thể B)</t>
  </si>
  <si>
    <t>TAB 4 — CHANNEL FIT &amp; AFFORDABILITY TEST</t>
  </si>
  <si>
    <t>→ Đèn: Gross Margin</t>
  </si>
  <si>
    <t>Trạm 4. Chọn ĐÚNG 1 kênh cho 90 ngày đầu — và chứng minh bằng số.</t>
  </si>
  <si>
    <t>A. NGÂN SÁCH CAC — bạn nuôi nổi kênh nào?</t>
  </si>
  <si>
    <t>Biến thể A → 0 vì khách tự chịu</t>
  </si>
  <si>
    <t>→ Tổng HITL / tháng</t>
  </si>
  <si>
    <t>ARPU / tháng ($)</t>
  </si>
  <si>
    <t>Gross Margin (từ tab 2_Pricing)</t>
  </si>
  <si>
    <t>→ Đèn: GM có cao bất thường?</t>
  </si>
  <si>
    <t>S8. OVERHEAD (tuỳ chọn)</t>
  </si>
  <si>
    <t>R&amp;D + Sales phân bổ / tháng ($)</t>
  </si>
  <si>
    <t>Để 0 nếu chỉ muốn xem Cost/Job thuần COGS</t>
  </si>
  <si>
    <t>KẾT QUẢ</t>
  </si>
  <si>
    <t>Chi phí biến đổi / tháng (API + Speech + Infra + Retry)</t>
  </si>
  <si>
    <t>→ Giá bán nằm trong vùng neo?</t>
  </si>
  <si>
    <t>HITL / tháng</t>
  </si>
  <si>
    <t>Overhead / tháng</t>
  </si>
  <si>
    <t>TỔNG CHI PHÍ / tháng</t>
  </si>
  <si>
    <t>BREAKEVEN CONTAINMENT — ngưỡng sống còn</t>
  </si>
  <si>
    <t>Phân khúc (SMB / Mid / Enterprise)</t>
  </si>
  <si>
    <t>Ký hiệu: v = chi phí biến đổi / job thử · q = QA / job thử · e = chi phí 1 ca escalate</t>
  </si>
  <si>
    <t>SMB</t>
  </si>
  <si>
    <t>★ COST/JOB (chưa overhead)</t>
  </si>
  <si>
    <t>v — chi phí biến đổi / job thử</t>
  </si>
  <si>
    <t>→ CAC payback cho phép (tháng)</t>
  </si>
  <si>
    <t>Con số chảy sang tab 2_Pricing</t>
  </si>
  <si>
    <t>★ COST/JOB (có overhead)</t>
  </si>
  <si>
    <t>tháng</t>
  </si>
  <si>
    <t>Bessemer, Scaling to $100M (2024)</t>
  </si>
  <si>
    <t>q — QA nội bộ / job thử</t>
  </si>
  <si>
    <t>★ NGÂN SÁCH CAC / khách</t>
  </si>
  <si>
    <t>Tỷ giá (₫ / USD) — giả định</t>
  </si>
  <si>
    <t>₫/USD</t>
  </si>
  <si>
    <t>Thay bằng tỷ giá thực tế khi làm bài</t>
  </si>
  <si>
    <t>→ Cost/Job quy đổi</t>
  </si>
  <si>
    <t>ARPU × GM × số tháng payback</t>
  </si>
  <si>
    <t>→ ACV (giá trị hợp đồng / năm)</t>
  </si>
  <si>
    <t>e — chi phí 1 ca escalate</t>
  </si>
  <si>
    <t>₫/job</t>
  </si>
  <si>
    <t>THÀNH PHẦN NÀO ĂN NHIỀU NHẤT? (kiểm tra nhanh)</t>
  </si>
  <si>
    <t>B. SALES VIABILITY — một AE phải chốt bao nhiêu deal?</t>
  </si>
  <si>
    <t>LLM</t>
  </si>
  <si>
    <t>Quota / AE / năm ($)</t>
  </si>
  <si>
    <t>Giả định gốc của Tunguz (2016) — thay bằng số thị trường bạn</t>
  </si>
  <si>
    <t>Số ngày làm việc / năm</t>
  </si>
  <si>
    <t>ngày</t>
  </si>
  <si>
    <t>→ Số deal / AE / năm</t>
  </si>
  <si>
    <t>Gross Margin mục tiêu</t>
  </si>
  <si>
    <t>★ Containment tối thiểu cần đạt</t>
  </si>
  <si>
    <t>Speech</t>
  </si>
  <si>
    <t>★ Số deal / AE / NGÀY</t>
  </si>
  <si>
    <t>Infra</t>
  </si>
  <si>
    <t>deal/ngày</t>
  </si>
  <si>
    <t>→ Kết luận Sales-Led</t>
  </si>
  <si>
    <t>Retry</t>
  </si>
  <si>
    <t>Công thức: R ≥ (v+q+e) / (P×(1−GM)+e)</t>
  </si>
  <si>
    <t>Containment hiện tại (từ tab 1)</t>
  </si>
  <si>
    <t>HITL</t>
  </si>
  <si>
    <t>C. ĐỐI CHIẾU CAC THỰC TẾ CỦA MOTION CÓ SALES</t>
  </si>
  <si>
    <t>Cost per opportunity ($)</t>
  </si>
  <si>
    <t>ICONIQ 2026 theo phân khúc: $6.300 · $8.000 · $11.200</t>
  </si>
  <si>
    <t>Win rate</t>
  </si>
  <si>
    <t>Overhead</t>
  </si>
  <si>
    <t>→ CAC thực tế ước tính / khách</t>
  </si>
  <si>
    <t>Nếu LLM chiếm &gt;80% thì gần như chắc chắn bạn đang thiếu chi phí ở S5–S7.</t>
  </si>
  <si>
    <t>→ Kết luận</t>
  </si>
  <si>
    <t>★ Lệch bao nhiêu lần so với ngân sách CAC?</t>
  </si>
  <si>
    <t>SENSITIVITY — mô hình gãy ở đâu?</t>
  </si>
  <si>
    <t>Containment</t>
  </si>
  <si>
    <t>Đây là bằng chứng chọn kênh của bạn</t>
  </si>
  <si>
    <t>Cost/Job</t>
  </si>
  <si>
    <t>Gross Margin</t>
  </si>
  <si>
    <t>Đánh giá</t>
  </si>
  <si>
    <t>D. CHẤM ĐIỂM 3 KÊNH (1 = rất kém, 5 = rất tốt)</t>
  </si>
  <si>
    <t>Tiêu chí</t>
  </si>
  <si>
    <t>PLG</t>
  </si>
  <si>
    <t>Sales-Led</t>
  </si>
  <si>
    <t>Partner-Led</t>
  </si>
  <si>
    <t>1. Ngân sách CAC của tôi nuôi nổi kênh này</t>
  </si>
  <si>
    <t>2. Khách hàng mục tiêu thực sự mua theo cách này</t>
  </si>
  <si>
    <t>3. Đội hiện tại có năng lực chạy kênh này ngay</t>
  </si>
  <si>
    <t>4. Tôi tiếp cận được điểm nhúng / partner trong 30 ngày</t>
  </si>
  <si>
    <t>5. Kênh này đưa tôi đến ĐÚNG Pain Moment</t>
  </si>
  <si>
    <t>6. Tôi đo được hiệu quả trong vòng 90 ngày</t>
  </si>
  <si>
    <t>TAB 5 — PAIN MOMENT · 90-DAY PLAN · EVIDENCE PACK</t>
  </si>
  <si>
    <t>→ TỔNG ĐIỂM</t>
  </si>
  <si>
    <t>Trạm 5 và Trạm 6.</t>
  </si>
  <si>
    <t>A. PAIN MOMENT — phải đủ 3 phần</t>
  </si>
  <si>
    <t>→ Kênh điểm cao nhất</t>
  </si>
  <si>
    <t>MẤY GIỜ khách đau nhất?</t>
  </si>
  <si>
    <t>Lúc đó họ ĐANG LÀM GÌ?</t>
  </si>
  <si>
    <t>Họ đang DÙNG APP / KÊNH NÀO?</t>
  </si>
  <si>
    <t>→ Điểm nhúng cụ thể của bạn</t>
  </si>
  <si>
    <t>Một bề mặt tích hợp có tên, không phải 'website của chúng tôi'</t>
  </si>
  <si>
    <t>B. 90-DAY PLAN</t>
  </si>
  <si>
    <t>E. CHỐT KÊNH</t>
  </si>
  <si>
    <t>THÁNG 1 — Học</t>
  </si>
  <si>
    <t>THÁNG 2–3 — Đòn bẩy</t>
  </si>
  <si>
    <t>THÁNG 4+ — Mở rộng</t>
  </si>
  <si>
    <t>★ Kênh tôi chọn cho 90 ngày đầu</t>
  </si>
  <si>
    <t>Kênh sử dụng</t>
  </si>
  <si>
    <t>ĐÚNG 1 kênh. Chọn 2 kênh trở lên bị trừ điểm.</t>
  </si>
  <si>
    <t>Nếu Partner-Led: TÊN CÔNG TY partner</t>
  </si>
  <si>
    <t>'Các nền tảng trong ngành' = chưa có kênh</t>
  </si>
  <si>
    <t>Đã nói chuyện với họ chưa? (Rồi / Chưa)</t>
  </si>
  <si>
    <t>Chưa</t>
  </si>
  <si>
    <t>Bạn mang lại giá trị gì cho partner?</t>
  </si>
  <si>
    <t>Mục tiêu số khách</t>
  </si>
  <si>
    <t>Nếu rơi vào vùng không khả thi — lối thoát nào?</t>
  </si>
  <si>
    <t>Giảm giá để tự phục vụ / tăng giá + service / Partner-Led</t>
  </si>
  <si>
    <t>Việc cụ thể 1</t>
  </si>
  <si>
    <t>Việc cụ thể 2</t>
  </si>
  <si>
    <t>Việc cụ thể 3</t>
  </si>
  <si>
    <t>KPI đo được</t>
  </si>
  <si>
    <t>Người chịu trách nhiệm</t>
  </si>
  <si>
    <t>Tháng 1 là giai đoạn HỌC, không phải scale. Kế hoạch 'tháng 1 lấy 200 khách ở 5 ngành' là kế hoạch chưa ai từng thử làm.</t>
  </si>
  <si>
    <t>C. EVIDENCE PACK — 3 tài sản bán hàng</t>
  </si>
  <si>
    <t>Tài sản</t>
  </si>
  <si>
    <t>Đã có? (Rồi/Chưa)</t>
  </si>
  <si>
    <t>Nội dung 1 câu — hoặc việc cần làm</t>
  </si>
  <si>
    <t>Người phụ trách · Deadline</t>
  </si>
  <si>
    <t xml:space="preserve">1. Eval Results </t>
  </si>
  <si>
    <t xml:space="preserve">2. Risk Checklist </t>
  </si>
  <si>
    <t>Nhìn cột Gross Margin: mô hình của bạn mong manh đến mức nào khi AI làm sai nhiều hơn dự kiến?</t>
  </si>
  <si>
    <t>3. Pilot Report</t>
  </si>
  <si>
    <t>5 CON SỐ PHẢI MANG SANG ONE-PAGER</t>
  </si>
  <si>
    <t>Ô nào CHƯA CÓ thì ghi deadline — đừng bỏ trống. Thành thật về khoảng trống được điểm cao hơn bịa nội dung.</t>
  </si>
  <si>
    <t>D. BÀI TEST NGƯỜI LẠ — nhóm khác đọc One-Pager trong 2 phút</t>
  </si>
  <si>
    <t>Họ trả lời được: bán gì, cho ai, tính tiền theo đơn vị nào? (Được/Không)</t>
  </si>
  <si>
    <t>Họ trả lời được: có lãi trên mỗi đơn vị không, số nào chứng minh? (Được/Không)</t>
  </si>
  <si>
    <t>Họ trả lời được: tiếp cận khách qua đâu, vì sao kênh đó? (Được/Không)</t>
  </si>
  <si>
    <t>Số câu họ phải hỏi lại (mục tiêu ≤ 3)</t>
  </si>
  <si>
    <t>Giá sàn (3×)</t>
  </si>
  <si>
    <t>Giá bán đề xuất</t>
  </si>
  <si>
    <t>Breakeven containment</t>
  </si>
  <si>
    <t>TAB 6 — BENCHMARKS (CHỈ ĐỌC)</t>
  </si>
  <si>
    <t>Giá chốt ngày 26/08/2026. Dòng có ⏳ là GIÁ KHUYẾN MẠI CÓ HẠN — phải kiểm tra lại.</t>
  </si>
  <si>
    <t>NGÀY BẠN KIỂM TRA LẠI GIÁ</t>
  </si>
  <si>
    <t>Bắt buộc điền — Rubric có chấm mục này</t>
  </si>
  <si>
    <t>Nhóm</t>
  </si>
  <si>
    <t>Mục</t>
  </si>
  <si>
    <t>Giá</t>
  </si>
  <si>
    <t>Đơn vị</t>
  </si>
  <si>
    <t>Nguồn</t>
  </si>
  <si>
    <t>Claude Opus 5 — input / output</t>
  </si>
  <si>
    <t>5,00 / 25,00</t>
  </si>
  <si>
    <t>$ / 1M token</t>
  </si>
  <si>
    <t>platform.claude.com/docs/en/about-claude/pricing</t>
  </si>
  <si>
    <t>Claude Sonnet 5 — input / output</t>
  </si>
  <si>
    <t>2,00 / 10,00</t>
  </si>
  <si>
    <t>Claude Haiku 4.5 — input / output</t>
  </si>
  <si>
    <t>1,00 / 5,00</t>
  </si>
  <si>
    <t>Claude — cache write 5' / cache read</t>
  </si>
  <si>
    <t>1,25× / 0,10× input</t>
  </si>
  <si>
    <t>hệ số</t>
  </si>
  <si>
    <t>⏳ OpenAI GPT-5.6 Sol — input / output</t>
  </si>
  <si>
    <t>4,00 / 20,00</t>
  </si>
  <si>
    <t>developers.openai.com/api/docs/pricing (KM 21/08–21/11/2026; list 5,00/30,00)</t>
  </si>
  <si>
    <t>OpenAI GPT-5.6 Luna — input / output</t>
  </si>
  <si>
    <t>0,20 / 1,20</t>
  </si>
  <si>
    <t>developers.openai.com/api/docs/pricing</t>
  </si>
  <si>
    <t>OpenAI — cached input / Batch API</t>
  </si>
  <si>
    <t>10% input / −50%</t>
  </si>
  <si>
    <t>Gemini 3.1 Pro — input / output (≤200k)</t>
  </si>
  <si>
    <t>2,00 / 12,00</t>
  </si>
  <si>
    <t>ai.google.dev/gemini-api/docs/pricing</t>
  </si>
  <si>
    <t>⏳ Gemini 3.7 Flash — input / output</t>
  </si>
  <si>
    <t>0,75 / 3,75</t>
  </si>
  <si>
    <t>ai.google.dev/gemini-api/docs/pricing (KM đến 31/12/2026; sau đó 1,50/7,50)</t>
  </si>
  <si>
    <t>STT</t>
  </si>
  <si>
    <t>Deepgram Nova-3 — pre-recorded</t>
  </si>
  <si>
    <t>0,0043</t>
  </si>
  <si>
    <t>$ / phút</t>
  </si>
  <si>
    <t>deepgram.com/pricing</t>
  </si>
  <si>
    <t>⏳ Deepgram Nova-3 — streaming</t>
  </si>
  <si>
    <t>list 0,0077 · KM 0,0048</t>
  </si>
  <si>
    <t>deepgram.com/pricing — đang khuyến mại, kiểm tra lại</t>
  </si>
  <si>
    <t>AssemblyAI Universal-2 — async</t>
  </si>
  <si>
    <t>0,0025</t>
  </si>
  <si>
    <t>assemblyai.com/pricing</t>
  </si>
  <si>
    <t>OpenAI gpt-4o-mini-transcribe</t>
  </si>
  <si>
    <t>0,0030</t>
  </si>
  <si>
    <t>TTS</t>
  </si>
  <si>
    <t>Google Cloud TTS — Standard</t>
  </si>
  <si>
    <t>4,00</t>
  </si>
  <si>
    <t>$ / 1M ký tự</t>
  </si>
  <si>
    <t>cloud.google.com/text-to-speech/pricing (rẻ nhất)</t>
  </si>
  <si>
    <t>OpenAI tts-1</t>
  </si>
  <si>
    <t>15,00</t>
  </si>
  <si>
    <t>ElevenLabs Flash / Turbo</t>
  </si>
  <si>
    <t>50,00</t>
  </si>
  <si>
    <t>elevenlabs.io/pricing/api</t>
  </si>
  <si>
    <t>ElevenLabs v3 / v2 Multilingual</t>
  </si>
  <si>
    <t>100,00</t>
  </si>
  <si>
    <t>Quy đổi</t>
  </si>
  <si>
    <t>Tốc độ nói</t>
  </si>
  <si>
    <t>≈ 900</t>
  </si>
  <si>
    <t>ký tự / phút</t>
  </si>
  <si>
    <t>≈150 từ/phút — dùng để đổi phút ↔ ký tự</t>
  </si>
  <si>
    <t>Lưu ý</t>
  </si>
  <si>
    <t>Google TTS — ký tự CJK</t>
  </si>
  <si>
    <t>tính là 1 ký tự</t>
  </si>
  <si>
    <t>—</t>
  </si>
  <si>
    <t>cloud.google.com/text-to-speech/pricing (KHÔNG phải ×2)</t>
  </si>
  <si>
    <t>Google STT — tính theo kênh</t>
  </si>
  <si>
    <t>4 kênh × 120s = 480s</t>
  </si>
  <si>
    <t>cloud.google.com/speech-to-text/pricing</t>
  </si>
  <si>
    <t>Streaming vs async STT</t>
  </si>
  <si>
    <t>1× đến ~5×</t>
  </si>
  <si>
    <t>Tuỳ nhà cung cấp — AssemblyAI 1,0× · Google ~5×. Đừng dùng hệ số chung</t>
  </si>
  <si>
    <t>Sản phẩm</t>
  </si>
  <si>
    <t>Intercom Fin — resolution</t>
  </si>
  <si>
    <t>0,99</t>
  </si>
  <si>
    <t>$ / outcome</t>
  </si>
  <si>
    <t>fin.ai/pricing</t>
  </si>
  <si>
    <t>Intercom Fin — qualification (sales)</t>
  </si>
  <si>
    <t>9,99</t>
  </si>
  <si>
    <t>Zendesk — automated resolution</t>
  </si>
  <si>
    <t>1,50</t>
  </si>
  <si>
    <t>$ / resolution</t>
  </si>
  <si>
    <t>zendesk.com/blog/ai/agentic-ai/outcome-based-pricing/ (blog, không trên trang giá)</t>
  </si>
  <si>
    <t>Salesforce Agentforce — Flex Credit</t>
  </si>
  <si>
    <t>0,005 (action = 0,10)</t>
  </si>
  <si>
    <t>$ / credit</t>
  </si>
  <si>
    <t>salesforce.com/agentforce/pricing</t>
  </si>
  <si>
    <t>Salesforce Agentforce — conversation</t>
  </si>
  <si>
    <t>2,00</t>
  </si>
  <si>
    <t>$ / conversation</t>
  </si>
  <si>
    <t>GitHub Copilot — AI Credit</t>
  </si>
  <si>
    <t>0,01</t>
  </si>
  <si>
    <t>docs.github.com/en/copilot/get-started/plans</t>
  </si>
  <si>
    <t>GitHub Copilot Business / Enterprise</t>
  </si>
  <si>
    <t>19 / 39</t>
  </si>
  <si>
    <t>$ / seat / tháng</t>
  </si>
  <si>
    <t>Notion — Business / credits</t>
  </si>
  <si>
    <t>20 / 10 per 1.000</t>
  </si>
  <si>
    <t>$ / member / tháng</t>
  </si>
  <si>
    <t>notion.com/pricing</t>
  </si>
  <si>
    <t>Benchmark</t>
  </si>
  <si>
    <t>Gross Margin AI-native 2026E</t>
  </si>
  <si>
    <t>≈ 53%</t>
  </si>
  <si>
    <t>%</t>
  </si>
  <si>
    <t>ICONIQ, 2026 State of AI: The Builder's Economy (07/2026)</t>
  </si>
  <si>
    <t>Gross Margin cloud (middle 50%)</t>
  </si>
  <si>
    <t>60 – 80%</t>
  </si>
  <si>
    <t>Bessemer, Scaling to $100 Million (2024)</t>
  </si>
  <si>
    <t>Vertical AI — GM / model cost</t>
  </si>
  <si>
    <t>≈65% / ≈10% doanh thu</t>
  </si>
  <si>
    <t>Bessemer, State of the Cloud 2024</t>
  </si>
  <si>
    <t>CAC payback SMB / Mid / Enterprise</t>
  </si>
  <si>
    <t>12 / 18 / 24</t>
  </si>
  <si>
    <t>LTV : CAC</t>
  </si>
  <si>
    <t>≥ 3×</t>
  </si>
  <si>
    <t>lần</t>
  </si>
  <si>
    <t>David Skok, SaaS Metrics 2.0 (cập nhật 06/2026)</t>
  </si>
  <si>
    <t>Cost per opportunity 2026 (theo phân khúc)</t>
  </si>
  <si>
    <t>6.300 · 8.000 · 11.200</t>
  </si>
  <si>
    <t>$</t>
  </si>
  <si>
    <t>ICONIQ, State of GTM 2026 (tr.22)</t>
  </si>
  <si>
    <t>ACV sàn cho inside sales</t>
  </si>
  <si>
    <t>≈ 3.000</t>
  </si>
  <si>
    <t>$ / năm</t>
  </si>
  <si>
    <t>Tomasz Tunguz (2016) — có kèm giả định để tính lại</t>
  </si>
  <si>
    <t>Lưu ý: trang marketing của nhà cung cấp có thể hiển thị giá cũ hơn trang docs. Ưu tiên trang docs / pricing chính thức.</t>
  </si>
</sst>
</file>

<file path=xl/styles.xml><?xml version="1.0" encoding="utf-8"?>
<styleSheet xmlns="http://schemas.openxmlformats.org/spreadsheetml/2006/main">
  <numFmts count="7">
    <numFmt numFmtId="164" formatCode="0.0%"/>
    <numFmt numFmtId="165" formatCode="\$#,##0.0000"/>
    <numFmt numFmtId="166" formatCode="#,##0.0"/>
    <numFmt numFmtId="167" formatCode="\$#,##0.00"/>
    <numFmt numFmtId="168" formatCode="\$#,##0"/>
    <numFmt numFmtId="169" formatCode="#,##0.0\×"/>
    <numFmt numFmtId="170" formatCode="#,##0&quot; ₫&quot;"/>
  </numFmts>
  <fonts count="11">
    <font>
      <sz val="11.0"/>
      <color theme="1"/>
      <name val="Calibri"/>
      <scheme val="minor"/>
    </font>
    <font>
      <b/>
      <sz val="14.0"/>
      <color rgb="FFFFFFFF"/>
      <name val="Arial"/>
    </font>
    <font>
      <sz val="11.0"/>
      <color theme="1"/>
      <name val="Calibri"/>
    </font>
    <font>
      <i/>
      <sz val="9.0"/>
      <color rgb="FF666666"/>
      <name val="Arial"/>
    </font>
    <font>
      <b/>
      <sz val="11.0"/>
      <color rgb="FF1F2937"/>
      <name val="Arial"/>
    </font>
    <font>
      <sz val="10.0"/>
      <color rgb="FF0000FF"/>
      <name val="Arial"/>
    </font>
    <font>
      <sz val="10.0"/>
      <color theme="1"/>
      <name val="Arial"/>
    </font>
    <font>
      <sz val="10.0"/>
      <color rgb="FF008000"/>
      <name val="Arial"/>
    </font>
    <font>
      <b/>
      <sz val="10.0"/>
      <color theme="1"/>
      <name val="Arial"/>
    </font>
    <font>
      <b/>
      <sz val="11.0"/>
      <color rgb="FFC00000"/>
      <name val="Arial"/>
    </font>
    <font>
      <b/>
      <sz val="10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FFF2CC"/>
        <bgColor rgb="FFFFF2CC"/>
      </patternFill>
    </fill>
    <fill>
      <patternFill patternType="solid">
        <fgColor rgb="FFE8EAF6"/>
        <bgColor rgb="FFE8EAF6"/>
      </patternFill>
    </fill>
    <fill>
      <patternFill patternType="solid">
        <fgColor rgb="FFF2F2F2"/>
        <bgColor rgb="FFF2F2F2"/>
      </patternFill>
    </fill>
    <fill>
      <patternFill patternType="solid">
        <fgColor rgb="FFEDEDED"/>
        <bgColor rgb="FFEDEDED"/>
      </patternFill>
    </fill>
  </fills>
  <borders count="3">
    <border/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2" fillId="3" fontId="5" numFmtId="0" xfId="0" applyAlignment="1" applyBorder="1" applyFill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4" fontId="4" numFmtId="0" xfId="0" applyAlignment="1" applyBorder="1" applyFill="1" applyFont="1">
      <alignment shrinkToFit="0" vertical="bottom" wrapText="0"/>
    </xf>
    <xf borderId="2" fillId="5" fontId="6" numFmtId="0" xfId="0" applyAlignment="1" applyBorder="1" applyFill="1" applyFont="1">
      <alignment shrinkToFit="0" vertical="bottom" wrapText="0"/>
    </xf>
    <xf borderId="2" fillId="0" fontId="7" numFmtId="0" xfId="0" applyAlignment="1" applyBorder="1" applyFont="1">
      <alignment shrinkToFit="0" vertical="bottom" wrapText="0"/>
    </xf>
    <xf borderId="1" fillId="4" fontId="2" numFmtId="0" xfId="0" applyAlignment="1" applyBorder="1" applyFill="1" applyFont="1">
      <alignment shrinkToFit="0" vertical="bottom" wrapText="0"/>
    </xf>
    <xf borderId="2" fillId="6" fontId="6" numFmtId="0" xfId="0" applyAlignment="1" applyBorder="1" applyFill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2" fillId="3" fontId="5" numFmtId="0" xfId="0" applyAlignment="1" applyBorder="1" applyFill="1" applyFont="1">
      <alignment horizontal="center" shrinkToFit="0" vertical="bottom" wrapText="0"/>
    </xf>
    <xf borderId="0" fillId="0" fontId="6" numFmtId="0" xfId="0" applyAlignment="1" applyFont="1">
      <alignment readingOrder="0" shrinkToFit="0" vertical="bottom" wrapText="0"/>
    </xf>
    <xf borderId="2" fillId="3" fontId="5" numFmtId="3" xfId="0" applyAlignment="1" applyBorder="1" applyFill="1" applyFont="1" applyNumberFormat="1">
      <alignment shrinkToFit="0" vertical="bottom" wrapText="0"/>
    </xf>
    <xf borderId="2" fillId="3" fontId="5" numFmtId="164" xfId="0" applyAlignment="1" applyBorder="1" applyFill="1" applyFont="1" applyNumberForma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2" fillId="5" fontId="9" numFmtId="3" xfId="0" applyAlignment="1" applyBorder="1" applyFill="1" applyFont="1" applyNumberFormat="1">
      <alignment shrinkToFit="0" vertical="bottom" wrapText="0"/>
    </xf>
    <xf borderId="2" fillId="5" fontId="6" numFmtId="3" xfId="0" applyAlignment="1" applyBorder="1" applyFill="1" applyFont="1" applyNumberFormat="1">
      <alignment shrinkToFit="0" vertical="bottom" wrapText="0"/>
    </xf>
    <xf borderId="2" fillId="5" fontId="7" numFmtId="165" xfId="0" applyAlignment="1" applyBorder="1" applyFill="1" applyFont="1" applyNumberFormat="1">
      <alignment shrinkToFit="0" vertical="bottom" wrapText="0"/>
    </xf>
    <xf borderId="2" fillId="3" fontId="5" numFmtId="166" xfId="0" applyAlignment="1" applyBorder="1" applyFill="1" applyFont="1" applyNumberFormat="1">
      <alignment shrinkToFit="0" vertical="bottom" wrapText="0"/>
    </xf>
    <xf borderId="2" fillId="3" fontId="5" numFmtId="167" xfId="0" applyAlignment="1" applyBorder="1" applyFill="1" applyFont="1" applyNumberFormat="1">
      <alignment shrinkToFit="0" vertical="bottom" wrapText="0"/>
    </xf>
    <xf borderId="2" fillId="5" fontId="9" numFmtId="165" xfId="0" applyAlignment="1" applyBorder="1" applyFill="1" applyFont="1" applyNumberFormat="1">
      <alignment shrinkToFit="0" vertical="bottom" wrapText="0"/>
    </xf>
    <xf borderId="2" fillId="5" fontId="6" numFmtId="165" xfId="0" applyAlignment="1" applyBorder="1" applyFill="1" applyFont="1" applyNumberFormat="1">
      <alignment shrinkToFit="0" vertical="bottom" wrapText="0"/>
    </xf>
    <xf borderId="2" fillId="3" fontId="5" numFmtId="168" xfId="0" applyAlignment="1" applyBorder="1" applyFill="1" applyFont="1" applyNumberFormat="1">
      <alignment shrinkToFit="0" vertical="bottom" wrapText="0"/>
    </xf>
    <xf borderId="2" fillId="5" fontId="9" numFmtId="0" xfId="0" applyAlignment="1" applyBorder="1" applyFill="1" applyFont="1">
      <alignment shrinkToFit="0" vertical="bottom" wrapText="0"/>
    </xf>
    <xf borderId="2" fillId="6" fontId="8" numFmtId="0" xfId="0" applyAlignment="1" applyBorder="1" applyFill="1" applyFont="1">
      <alignment shrinkToFit="0" vertical="bottom" wrapText="0"/>
    </xf>
    <xf borderId="2" fillId="5" fontId="6" numFmtId="164" xfId="0" applyAlignment="1" applyBorder="1" applyFill="1" applyFont="1" applyNumberFormat="1">
      <alignment shrinkToFit="0" vertical="bottom" wrapText="0"/>
    </xf>
    <xf borderId="2" fillId="3" fontId="5" numFmtId="165" xfId="0" applyAlignment="1" applyBorder="1" applyFill="1" applyFont="1" applyNumberFormat="1">
      <alignment shrinkToFit="0" vertical="bottom" wrapText="0"/>
    </xf>
    <xf borderId="2" fillId="5" fontId="6" numFmtId="169" xfId="0" applyAlignment="1" applyBorder="1" applyFill="1" applyFont="1" applyNumberFormat="1">
      <alignment shrinkToFit="0" vertical="bottom" wrapText="0"/>
    </xf>
    <xf borderId="2" fillId="5" fontId="9" numFmtId="164" xfId="0" applyAlignment="1" applyBorder="1" applyFill="1" applyFont="1" applyNumberFormat="1">
      <alignment shrinkToFit="0" vertical="bottom" wrapText="0"/>
    </xf>
    <xf borderId="2" fillId="5" fontId="6" numFmtId="167" xfId="0" applyAlignment="1" applyBorder="1" applyFill="1" applyFont="1" applyNumberFormat="1">
      <alignment shrinkToFit="0" vertical="bottom" wrapText="0"/>
    </xf>
    <xf borderId="2" fillId="5" fontId="9" numFmtId="167" xfId="0" applyAlignment="1" applyBorder="1" applyFill="1" applyFont="1" applyNumberFormat="1">
      <alignment shrinkToFit="0" vertical="bottom" wrapText="0"/>
    </xf>
    <xf borderId="2" fillId="5" fontId="7" numFmtId="164" xfId="0" applyAlignment="1" applyBorder="1" applyFill="1" applyFont="1" applyNumberFormat="1">
      <alignment shrinkToFit="0" vertical="bottom" wrapText="0"/>
    </xf>
    <xf borderId="2" fillId="5" fontId="9" numFmtId="168" xfId="0" applyAlignment="1" applyBorder="1" applyFill="1" applyFont="1" applyNumberFormat="1">
      <alignment shrinkToFit="0" vertical="bottom" wrapText="0"/>
    </xf>
    <xf borderId="2" fillId="5" fontId="6" numFmtId="170" xfId="0" applyAlignment="1" applyBorder="1" applyFill="1" applyFont="1" applyNumberFormat="1">
      <alignment shrinkToFit="0" vertical="bottom" wrapText="0"/>
    </xf>
    <xf borderId="2" fillId="5" fontId="6" numFmtId="168" xfId="0" applyAlignment="1" applyBorder="1" applyFill="1" applyFont="1" applyNumberFormat="1">
      <alignment shrinkToFit="0" vertical="bottom" wrapText="0"/>
    </xf>
    <xf borderId="2" fillId="5" fontId="9" numFmtId="4" xfId="0" applyAlignment="1" applyBorder="1" applyFill="1" applyFont="1" applyNumberFormat="1">
      <alignment shrinkToFit="0" vertical="bottom" wrapText="0"/>
    </xf>
    <xf borderId="2" fillId="5" fontId="9" numFmtId="169" xfId="0" applyAlignment="1" applyBorder="1" applyFill="1" applyFont="1" applyNumberFormat="1">
      <alignment shrinkToFit="0" vertical="bottom" wrapText="0"/>
    </xf>
    <xf borderId="2" fillId="6" fontId="6" numFmtId="164" xfId="0" applyAlignment="1" applyBorder="1" applyFill="1" applyFont="1" applyNumberFormat="1">
      <alignment shrinkToFit="0" vertical="bottom" wrapText="0"/>
    </xf>
    <xf borderId="2" fillId="3" fontId="5" numFmtId="0" xfId="0" applyAlignment="1" applyBorder="1" applyFill="1" applyFont="1">
      <alignment shrinkToFit="0" vertical="top" wrapText="1"/>
    </xf>
    <xf borderId="2" fillId="2" fontId="10" numFmtId="0" xfId="0" applyAlignment="1" applyBorder="1" applyFill="1" applyFont="1">
      <alignment shrinkToFit="0" vertical="bottom" wrapText="0"/>
    </xf>
    <xf borderId="2" fillId="6" fontId="6" numFmtId="0" xfId="0" applyAlignment="1" applyBorder="1" applyFill="1" applyFont="1">
      <alignment shrinkToFit="0" vertical="top" wrapText="0"/>
    </xf>
    <xf borderId="2" fillId="6" fontId="3" numFmtId="0" xfId="0" applyAlignment="1" applyBorder="1" applyFill="1" applyFont="1">
      <alignment shrinkToFit="0" vertical="top" wrapText="1"/>
    </xf>
    <xf borderId="2" fillId="3" fontId="5" numFmtId="0" xfId="0" applyAlignment="1" applyBorder="1" applyFill="1" applyFont="1">
      <alignment shrinkToFit="0" vertical="bottom" wrapText="1"/>
    </xf>
    <xf borderId="2" fillId="3" fontId="5" numFmtId="0" xfId="0" applyAlignment="1" applyBorder="1" applyFill="1" applyFont="1">
      <alignment horizontal="center" shrinkToFit="0" vertical="bottom" wrapText="1"/>
    </xf>
    <xf borderId="2" fillId="3" fontId="5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4.43" defaultRowHeight="15.0"/>
  <cols>
    <col customWidth="1" min="1" max="1" width="52.0"/>
    <col customWidth="1" min="2" max="2" width="62.0"/>
    <col customWidth="1" min="3" max="8" width="15.0"/>
    <col customWidth="1" min="9" max="26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</row>
    <row r="2">
      <c r="A2" s="3" t="s">
        <v>3</v>
      </c>
    </row>
    <row r="4">
      <c r="A4" s="4" t="s">
        <v>5</v>
      </c>
    </row>
    <row r="5">
      <c r="A5" s="5" t="s">
        <v>9</v>
      </c>
      <c r="B5" s="6" t="s">
        <v>11</v>
      </c>
    </row>
    <row r="6">
      <c r="A6" s="8" t="s">
        <v>12</v>
      </c>
      <c r="B6" s="6" t="s">
        <v>13</v>
      </c>
    </row>
    <row r="7">
      <c r="A7" s="9" t="s">
        <v>15</v>
      </c>
      <c r="B7" s="6" t="s">
        <v>16</v>
      </c>
    </row>
    <row r="8">
      <c r="A8" s="11" t="s">
        <v>18</v>
      </c>
      <c r="B8" s="6" t="s">
        <v>20</v>
      </c>
    </row>
    <row r="10">
      <c r="A10" s="4" t="s">
        <v>21</v>
      </c>
    </row>
    <row r="11">
      <c r="A11" s="12" t="s">
        <v>23</v>
      </c>
      <c r="B11" s="6" t="s">
        <v>25</v>
      </c>
    </row>
    <row r="12">
      <c r="A12" s="12" t="s">
        <v>28</v>
      </c>
      <c r="B12" s="6" t="s">
        <v>29</v>
      </c>
    </row>
    <row r="13">
      <c r="A13" s="12" t="s">
        <v>30</v>
      </c>
      <c r="B13" s="6" t="s">
        <v>31</v>
      </c>
    </row>
    <row r="14">
      <c r="A14" s="12" t="s">
        <v>32</v>
      </c>
      <c r="B14" s="6" t="s">
        <v>33</v>
      </c>
    </row>
    <row r="15">
      <c r="A15" s="12" t="s">
        <v>34</v>
      </c>
      <c r="B15" s="6" t="s">
        <v>35</v>
      </c>
    </row>
    <row r="16">
      <c r="A16" s="12" t="s">
        <v>36</v>
      </c>
      <c r="B16" s="6" t="s">
        <v>37</v>
      </c>
    </row>
    <row r="18">
      <c r="A18" s="4" t="s">
        <v>39</v>
      </c>
    </row>
    <row r="19">
      <c r="A19" s="6" t="s">
        <v>40</v>
      </c>
    </row>
    <row r="20">
      <c r="A20" s="6" t="s">
        <v>41</v>
      </c>
    </row>
    <row r="21" ht="15.75" customHeight="1">
      <c r="A21" s="6" t="s">
        <v>42</v>
      </c>
    </row>
    <row r="22" ht="15.75" customHeight="1"/>
    <row r="23" ht="15.75" customHeight="1">
      <c r="A23" s="3" t="s">
        <v>45</v>
      </c>
    </row>
    <row r="24" ht="15.75" customHeight="1">
      <c r="A24" s="3" t="s">
        <v>47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4.43" defaultRowHeight="15.0"/>
  <cols>
    <col customWidth="1" min="1" max="1" width="46.0"/>
    <col customWidth="1" min="2" max="3" width="16.0"/>
    <col customWidth="1" min="4" max="4" width="52.0"/>
    <col customWidth="1" min="5" max="8" width="15.0"/>
    <col customWidth="1" min="9" max="26" width="8.71"/>
  </cols>
  <sheetData>
    <row r="1" ht="24.0" customHeight="1">
      <c r="A1" s="1" t="s">
        <v>2</v>
      </c>
      <c r="B1" s="2"/>
      <c r="C1" s="2"/>
      <c r="D1" s="2"/>
      <c r="E1" s="2"/>
      <c r="F1" s="2"/>
      <c r="G1" s="2"/>
      <c r="H1" s="2"/>
    </row>
    <row r="2">
      <c r="A2" s="3" t="s">
        <v>4</v>
      </c>
    </row>
    <row r="4">
      <c r="A4" s="7" t="s">
        <v>6</v>
      </c>
      <c r="B4" s="10"/>
      <c r="C4" s="10"/>
      <c r="D4" s="10"/>
      <c r="E4" s="10"/>
      <c r="F4" s="10"/>
      <c r="G4" s="10"/>
      <c r="H4" s="10"/>
    </row>
    <row r="5" ht="129" customHeight="1">
      <c r="A5" s="6" t="s">
        <v>19</v>
      </c>
      <c r="B5" s="45" t="inlineStr">
        <is>
          <t>1 nháp cá nhân/bài có ý chính, chỗ chưa hiểu, bài tập và nguồn; loại lỗi/trùng/retry.</t>
        </is>
      </c>
      <c r="D5" s="3" t="s">
        <v>24</v>
      </c>
    </row>
    <row r="6" ht="27" customHeight="1">
      <c r="A6" s="6" t="s">
        <v>27</v>
      </c>
      <c r="B6" s="46" t="inlineStr">
        <is>
          <t>A</t>
        </is>
      </c>
      <c r="D6" s="3" t="s">
        <v>43</v>
      </c>
    </row>
    <row r="8">
      <c r="A8" s="7" t="s">
        <v>46</v>
      </c>
      <c r="B8" s="10"/>
      <c r="C8" s="10"/>
      <c r="D8" s="10"/>
      <c r="E8" s="10"/>
      <c r="F8" s="10"/>
      <c r="G8" s="10"/>
      <c r="H8" s="10"/>
    </row>
    <row r="9">
      <c r="A9" s="6" t="s">
        <v>48</v>
      </c>
      <c r="B9" s="15">
        <v>1000</v>
      </c>
      <c r="C9" s="3" t="s">
        <v>52</v>
      </c>
    </row>
    <row r="10">
      <c r="A10" s="6" t="s">
        <v>54</v>
      </c>
      <c r="B10" s="16">
        <v>0.8</v>
      </c>
      <c r="D10" s="17" t="s">
        <v>56</v>
      </c>
    </row>
    <row r="11">
      <c r="A11" s="6" t="s">
        <v>57</v>
      </c>
      <c r="B11" s="19">
        <f>B9*B10</f>
        <v>800</v>
      </c>
      <c r="C11" s="3" t="s">
        <v>52</v>
      </c>
      <c r="D11" s="3" t="s">
        <v>61</v>
      </c>
    </row>
    <row r="12">
      <c r="A12" s="6" t="s">
        <v>63</v>
      </c>
      <c r="B12" s="19">
        <f>B9-B11</f>
        <v>200</v>
      </c>
      <c r="C12" s="3" t="s">
        <v>52</v>
      </c>
      <c r="D12" s="3" t="s">
        <v>69</v>
      </c>
    </row>
    <row r="14">
      <c r="A14" s="7" t="s">
        <v>70</v>
      </c>
      <c r="B14" s="10"/>
      <c r="C14" s="10"/>
      <c r="D14" s="10"/>
      <c r="E14" s="10"/>
      <c r="F14" s="10"/>
      <c r="G14" s="10"/>
      <c r="H14" s="10"/>
    </row>
    <row r="15">
      <c r="A15" s="6" t="s">
        <v>71</v>
      </c>
      <c r="B15" s="22">
        <v>1</v>
      </c>
      <c r="D15" s="3" t="s">
        <v>75</v>
      </c>
    </row>
    <row r="16">
      <c r="A16" s="6" t="s">
        <v>77</v>
      </c>
      <c r="B16" s="22">
        <v>5</v>
      </c>
    </row>
    <row r="17">
      <c r="A17" s="6" t="s">
        <v>79</v>
      </c>
      <c r="B17" s="22">
        <v>1.25</v>
      </c>
      <c r="D17" s="3" t="s">
        <v>80</v>
      </c>
    </row>
    <row r="18">
      <c r="A18" s="6" t="s">
        <v>81</v>
      </c>
      <c r="B18" s="22">
        <v>0.1</v>
      </c>
      <c r="D18" s="3" t="s">
        <v>82</v>
      </c>
    </row>
    <row r="19">
      <c r="A19" s="6" t="s">
        <v>83</v>
      </c>
      <c r="B19" s="15">
        <v>3</v>
      </c>
      <c r="C19" s="3" t="s">
        <v>84</v>
      </c>
    </row>
    <row r="20">
      <c r="A20" s="6" t="s">
        <v>85</v>
      </c>
      <c r="B20" s="15">
        <v>5000</v>
      </c>
      <c r="C20" s="3" t="s">
        <v>86</v>
      </c>
      <c r="D20" s="3" t="s">
        <v>87</v>
      </c>
    </row>
    <row r="21" ht="15.75" customHeight="1">
      <c r="A21" s="6" t="s">
        <v>88</v>
      </c>
      <c r="B21" s="15">
        <v>1000</v>
      </c>
      <c r="C21" s="3" t="s">
        <v>86</v>
      </c>
      <c r="D21" s="3" t="s">
        <v>89</v>
      </c>
    </row>
    <row r="22" ht="15.75" customHeight="1">
      <c r="A22" s="6" t="s">
        <v>90</v>
      </c>
      <c r="B22" s="15">
        <v>800</v>
      </c>
      <c r="C22" s="3" t="s">
        <v>86</v>
      </c>
    </row>
    <row r="23" ht="15.75" customHeight="1">
      <c r="A23" s="6" t="s">
        <v>91</v>
      </c>
      <c r="B23" s="24">
        <f>B20*B17/1000000</f>
        <v>0.00625</v>
      </c>
    </row>
    <row r="24" ht="15.75" customHeight="1">
      <c r="A24" s="6" t="s">
        <v>94</v>
      </c>
      <c r="B24" s="24">
        <f>(B19-1)*B20*B18/1000000</f>
        <v>0.001</v>
      </c>
    </row>
    <row r="25" ht="15.75" customHeight="1">
      <c r="A25" s="6" t="s">
        <v>97</v>
      </c>
      <c r="B25" s="24">
        <f>B19*B21*B15/1000000</f>
        <v>0.003</v>
      </c>
    </row>
    <row r="26" ht="15.75" customHeight="1">
      <c r="A26" s="6" t="s">
        <v>102</v>
      </c>
      <c r="B26" s="24">
        <f>B19*B22*B16/1000000</f>
        <v>0.012</v>
      </c>
    </row>
    <row r="27" ht="15.75" customHeight="1">
      <c r="A27" s="12" t="s">
        <v>106</v>
      </c>
      <c r="B27" s="23">
        <f>SUM(B23:B26)</f>
        <v>0.02225</v>
      </c>
    </row>
    <row r="28" ht="15.75" customHeight="1">
      <c r="A28" s="6" t="s">
        <v>113</v>
      </c>
      <c r="B28" s="24">
        <f>B19*(B20+B21)*B15/1000000+B26</f>
        <v>0.03</v>
      </c>
    </row>
    <row r="29" ht="15.75" customHeight="1">
      <c r="A29" s="6" t="s">
        <v>116</v>
      </c>
      <c r="B29" s="28">
        <f>IF(B28=0,0,1-B27/B28)</f>
        <v>0.2583333333333333</v>
      </c>
      <c r="D29" s="3" t="s">
        <v>119</v>
      </c>
    </row>
    <row r="30" ht="15.75" customHeight="1">
      <c r="A30" s="6" t="s">
        <v>120</v>
      </c>
      <c r="B30" s="15">
        <v>0</v>
      </c>
      <c r="D30" s="3" t="s">
        <v>121</v>
      </c>
    </row>
    <row r="31" ht="15.75" customHeight="1">
      <c r="A31" s="12" t="s">
        <v>122</v>
      </c>
      <c r="B31" s="23">
        <f>B27*(1-B30*0.5)</f>
        <v>0.02225</v>
      </c>
    </row>
    <row r="32" ht="15.75" customHeight="1"/>
    <row r="33" ht="15.75" customHeight="1">
      <c r="A33" s="7" t="s">
        <v>123</v>
      </c>
      <c r="B33" s="10"/>
      <c r="C33" s="10"/>
      <c r="D33" s="10"/>
      <c r="E33" s="10"/>
      <c r="F33" s="10"/>
      <c r="G33" s="10"/>
      <c r="H33" s="10"/>
    </row>
    <row r="34" ht="15.75" customHeight="1">
      <c r="A34" s="6" t="s">
        <v>125</v>
      </c>
      <c r="B34" s="29">
        <v>0</v>
      </c>
      <c r="D34" s="3" t="s">
        <v>126</v>
      </c>
    </row>
    <row r="35" ht="15.75" customHeight="1">
      <c r="A35" s="6" t="s">
        <v>127</v>
      </c>
      <c r="B35" s="21">
        <v>0</v>
      </c>
      <c r="C35" s="3" t="s">
        <v>128</v>
      </c>
    </row>
    <row r="36" ht="15.75" customHeight="1">
      <c r="A36" s="6" t="s">
        <v>129</v>
      </c>
      <c r="B36" s="22">
        <v>0</v>
      </c>
      <c r="D36" s="3" t="s">
        <v>130</v>
      </c>
    </row>
    <row r="37" ht="15.75" customHeight="1">
      <c r="A37" s="6" t="s">
        <v>131</v>
      </c>
      <c r="B37" s="15">
        <v>0</v>
      </c>
      <c r="C37" s="3" t="s">
        <v>132</v>
      </c>
      <c r="D37" s="3" t="s">
        <v>133</v>
      </c>
    </row>
    <row r="38" ht="15.75" customHeight="1">
      <c r="A38" s="6" t="s">
        <v>134</v>
      </c>
      <c r="B38" s="24">
        <f>B34*B35+B36*B37/1000000</f>
        <v>0</v>
      </c>
    </row>
    <row r="39" ht="15.75" customHeight="1"/>
    <row r="40" ht="15.75" customHeight="1">
      <c r="A40" s="7" t="s">
        <v>136</v>
      </c>
      <c r="B40" s="10"/>
      <c r="C40" s="10"/>
      <c r="D40" s="10"/>
      <c r="E40" s="10"/>
      <c r="F40" s="10"/>
      <c r="G40" s="10"/>
      <c r="H40" s="10"/>
    </row>
    <row r="41" ht="15.75" customHeight="1">
      <c r="A41" s="6" t="s">
        <v>137</v>
      </c>
      <c r="B41" s="29">
        <v>0.008</v>
      </c>
      <c r="D41" s="3" t="s">
        <v>138</v>
      </c>
    </row>
    <row r="42" ht="15.75" customHeight="1">
      <c r="A42" s="6" t="s">
        <v>139</v>
      </c>
      <c r="B42" s="29">
        <v>0</v>
      </c>
    </row>
    <row r="43" ht="15.75" customHeight="1">
      <c r="A43" s="6" t="s">
        <v>140</v>
      </c>
      <c r="B43" s="24">
        <f>B41+B42*B35</f>
        <v>0.008</v>
      </c>
    </row>
    <row r="44" ht="15.75" customHeight="1"/>
    <row r="45" ht="15.75" customHeight="1">
      <c r="A45" s="7" t="s">
        <v>143</v>
      </c>
      <c r="B45" s="10"/>
      <c r="C45" s="10"/>
      <c r="D45" s="10"/>
      <c r="E45" s="10"/>
      <c r="F45" s="10"/>
      <c r="G45" s="10"/>
      <c r="H45" s="10"/>
    </row>
    <row r="46" ht="15.75" customHeight="1">
      <c r="A46" s="6" t="s">
        <v>146</v>
      </c>
      <c r="B46" s="16">
        <v>0.08</v>
      </c>
      <c r="D46" s="3" t="s">
        <v>147</v>
      </c>
    </row>
    <row r="47" ht="15.75" customHeight="1">
      <c r="A47" s="6" t="s">
        <v>148</v>
      </c>
      <c r="B47" s="24">
        <f>(B31+B38)*B46</f>
        <v>0.00178</v>
      </c>
    </row>
    <row r="48" ht="15.75" customHeight="1"/>
    <row r="49" ht="15.75" customHeight="1">
      <c r="A49" s="7" t="s">
        <v>149</v>
      </c>
      <c r="B49" s="10"/>
      <c r="C49" s="10"/>
      <c r="D49" s="10"/>
      <c r="E49" s="10"/>
      <c r="F49" s="10"/>
      <c r="G49" s="10"/>
      <c r="H49" s="10"/>
    </row>
    <row r="50" ht="15.75" customHeight="1">
      <c r="A50" s="6" t="s">
        <v>150</v>
      </c>
      <c r="B50" s="22">
        <v>9</v>
      </c>
      <c r="D50" s="3" t="s">
        <v>151</v>
      </c>
    </row>
    <row r="51" ht="15.75" customHeight="1">
      <c r="A51" s="6" t="s">
        <v>152</v>
      </c>
      <c r="B51" s="16">
        <v>0.05</v>
      </c>
      <c r="D51" s="3" t="s">
        <v>153</v>
      </c>
    </row>
    <row r="52" ht="15.75" customHeight="1">
      <c r="A52" s="6" t="s">
        <v>155</v>
      </c>
      <c r="B52" s="21">
        <v>3</v>
      </c>
      <c r="C52" s="3" t="s">
        <v>128</v>
      </c>
    </row>
    <row r="53" ht="15.75" customHeight="1">
      <c r="A53" s="6" t="s">
        <v>156</v>
      </c>
      <c r="B53" s="21">
        <v>6</v>
      </c>
      <c r="C53" s="3" t="s">
        <v>128</v>
      </c>
    </row>
    <row r="54" ht="15.75" customHeight="1">
      <c r="A54" s="6" t="s">
        <v>157</v>
      </c>
      <c r="B54" s="32">
        <f>B9*B51*(B52/60)*B50</f>
        <v>22.5</v>
      </c>
    </row>
    <row r="55" ht="15.75" customHeight="1">
      <c r="A55" s="6" t="s">
        <v>159</v>
      </c>
      <c r="B55" s="32">
        <f>IF(B6="B",B12*(B53/60)*B50,0)</f>
        <v>0</v>
      </c>
      <c r="D55" s="3" t="s">
        <v>164</v>
      </c>
    </row>
    <row r="56" ht="15.75" customHeight="1">
      <c r="A56" s="12" t="s">
        <v>165</v>
      </c>
      <c r="B56" s="33">
        <f>B54+B55</f>
        <v>22.5</v>
      </c>
    </row>
    <row r="57" ht="15.75" customHeight="1"/>
    <row r="58" ht="15.75" customHeight="1">
      <c r="A58" s="7" t="s">
        <v>169</v>
      </c>
      <c r="B58" s="10"/>
      <c r="C58" s="10"/>
      <c r="D58" s="10"/>
      <c r="E58" s="10"/>
      <c r="F58" s="10"/>
      <c r="G58" s="10"/>
      <c r="H58" s="10"/>
    </row>
    <row r="59" ht="15.75" customHeight="1">
      <c r="A59" s="6" t="s">
        <v>170</v>
      </c>
      <c r="B59" s="22">
        <v>50</v>
      </c>
      <c r="D59" s="3" t="s">
        <v>171</v>
      </c>
    </row>
    <row r="60" ht="15.75" customHeight="1"/>
    <row r="61" ht="15.75" customHeight="1">
      <c r="A61" s="7" t="s">
        <v>172</v>
      </c>
      <c r="B61" s="10"/>
      <c r="C61" s="10"/>
      <c r="D61" s="10"/>
      <c r="E61" s="10"/>
      <c r="F61" s="10"/>
      <c r="G61" s="10"/>
      <c r="H61" s="10"/>
    </row>
    <row r="62" ht="15.75" customHeight="1">
      <c r="A62" s="6" t="s">
        <v>173</v>
      </c>
      <c r="B62" s="32">
        <f>B9*(B31+B38+B43+B47)</f>
        <v>32.029999999999994</v>
      </c>
    </row>
    <row r="63" ht="15.75" customHeight="1">
      <c r="A63" s="6" t="s">
        <v>175</v>
      </c>
      <c r="B63" s="32">
        <f>B56</f>
        <v>22.5</v>
      </c>
    </row>
    <row r="64" ht="15.75" customHeight="1">
      <c r="A64" s="6" t="s">
        <v>176</v>
      </c>
      <c r="B64" s="32">
        <f>B59</f>
        <v>50</v>
      </c>
    </row>
    <row r="65" ht="15.75" customHeight="1">
      <c r="A65" s="6" t="s">
        <v>177</v>
      </c>
      <c r="B65" s="32">
        <f>B62+B63+B64</f>
        <v>104.53</v>
      </c>
    </row>
    <row r="66" ht="15.75" customHeight="1">
      <c r="A66" s="12" t="s">
        <v>182</v>
      </c>
      <c r="B66" s="23">
        <f>IF(B11=0,0,(B62+B63)/B11)</f>
        <v>0.06816249999999999</v>
      </c>
      <c r="C66" s="3" t="s">
        <v>66</v>
      </c>
      <c r="D66" s="3" t="s">
        <v>185</v>
      </c>
    </row>
    <row r="67" ht="15.75" customHeight="1">
      <c r="A67" s="12" t="s">
        <v>186</v>
      </c>
      <c r="B67" s="23">
        <f>IF(B11=0,0,B65/B11)</f>
        <v>0.13066250000000001</v>
      </c>
      <c r="C67" s="3" t="s">
        <v>66</v>
      </c>
    </row>
    <row r="68" ht="15.75" customHeight="1">
      <c r="A68" s="6" t="s">
        <v>191</v>
      </c>
      <c r="B68" s="15">
        <v>26100</v>
      </c>
      <c r="C68" s="3" t="s">
        <v>192</v>
      </c>
      <c r="D68" s="3" t="s">
        <v>193</v>
      </c>
    </row>
    <row r="69" ht="15.75" customHeight="1">
      <c r="A69" s="6" t="s">
        <v>194</v>
      </c>
      <c r="B69" s="36">
        <f>B66*B68</f>
        <v>1779.0412499999998</v>
      </c>
      <c r="C69" s="3" t="s">
        <v>198</v>
      </c>
    </row>
    <row r="70" ht="15.75" customHeight="1"/>
    <row r="71" ht="15.75" customHeight="1">
      <c r="A71" s="7" t="s">
        <v>199</v>
      </c>
      <c r="B71" s="10"/>
      <c r="C71" s="10"/>
      <c r="D71" s="10"/>
      <c r="E71" s="10"/>
      <c r="F71" s="10"/>
      <c r="G71" s="10"/>
      <c r="H71" s="10"/>
    </row>
    <row r="72" ht="15.75" customHeight="1">
      <c r="A72" s="6" t="s">
        <v>201</v>
      </c>
      <c r="B72" s="32">
        <f>B9*B31</f>
        <v>22.25</v>
      </c>
      <c r="C72" s="28">
        <f t="shared" ref="C72:C77" si="1">IF($B$65=0,0,B72/$B$65)</f>
        <v>0.21285755285563954</v>
      </c>
    </row>
    <row r="73" ht="15.75" customHeight="1">
      <c r="A73" s="6" t="s">
        <v>209</v>
      </c>
      <c r="B73" s="32">
        <f>B9*B38</f>
        <v>0</v>
      </c>
      <c r="C73" s="28">
        <f t="shared" si="1"/>
        <v>0</v>
      </c>
    </row>
    <row r="74" ht="15.75" customHeight="1">
      <c r="A74" s="6" t="s">
        <v>211</v>
      </c>
      <c r="B74" s="32">
        <f>B9*B43</f>
        <v>8</v>
      </c>
      <c r="C74" s="28">
        <f t="shared" si="1"/>
        <v>0.07653305271214006</v>
      </c>
    </row>
    <row r="75" ht="15.75" customHeight="1">
      <c r="A75" s="6" t="s">
        <v>214</v>
      </c>
      <c r="B75" s="32">
        <f>B9*B47</f>
        <v>1.7799999999999998</v>
      </c>
      <c r="C75" s="28">
        <f t="shared" si="1"/>
        <v>0.01702860422845116</v>
      </c>
    </row>
    <row r="76" ht="15.75" customHeight="1">
      <c r="A76" s="6" t="s">
        <v>217</v>
      </c>
      <c r="B76" s="32">
        <f>B56</f>
        <v>22.5</v>
      </c>
      <c r="C76" s="28">
        <f t="shared" si="1"/>
        <v>0.2152492107528939</v>
      </c>
    </row>
    <row r="77" ht="15.75" customHeight="1">
      <c r="A77" s="6" t="s">
        <v>222</v>
      </c>
      <c r="B77" s="32">
        <f>B59</f>
        <v>50</v>
      </c>
      <c r="C77" s="28">
        <f t="shared" si="1"/>
        <v>0.47833157945087534</v>
      </c>
    </row>
    <row r="78" ht="15.75" customHeight="1">
      <c r="A78" s="3" t="s">
        <v>224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6">
      <formula1>"A,B"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4.43" defaultRowHeight="15.0"/>
  <cols>
    <col customWidth="1" min="1" max="1" width="46.0"/>
    <col customWidth="1" min="2" max="3" width="16.0"/>
    <col customWidth="1" min="4" max="4" width="54.0"/>
    <col customWidth="1" min="5" max="8" width="15.0"/>
    <col customWidth="1" min="9" max="26" width="8.71"/>
  </cols>
  <sheetData>
    <row r="1" ht="24.0" customHeight="1">
      <c r="A1" s="1" t="s">
        <v>1</v>
      </c>
      <c r="B1" s="2"/>
      <c r="C1" s="2"/>
      <c r="D1" s="2"/>
      <c r="E1" s="2"/>
      <c r="F1" s="2"/>
      <c r="G1" s="2"/>
      <c r="H1" s="2"/>
    </row>
    <row r="2">
      <c r="A2" s="3" t="s">
        <v>7</v>
      </c>
    </row>
    <row r="4">
      <c r="A4" s="7" t="s">
        <v>10</v>
      </c>
      <c r="B4" s="10"/>
      <c r="C4" s="10"/>
      <c r="D4" s="10"/>
      <c r="E4" s="10"/>
      <c r="F4" s="10"/>
      <c r="G4" s="10"/>
      <c r="H4" s="10"/>
    </row>
    <row r="5">
      <c r="A5" s="6" t="s">
        <v>55</v>
      </c>
      <c r="B5" s="20">
        <f>'1_Cost_Job'!B66</f>
        <v>0.06816249999999999</v>
      </c>
      <c r="C5" s="3" t="s">
        <v>66</v>
      </c>
    </row>
    <row r="6">
      <c r="A6" s="6" t="s">
        <v>68</v>
      </c>
      <c r="B6" s="21">
        <v>3</v>
      </c>
      <c r="C6" s="3" t="s">
        <v>72</v>
      </c>
      <c r="D6" s="17" t="s">
        <v>74</v>
      </c>
    </row>
    <row r="7">
      <c r="A7" s="12" t="s">
        <v>76</v>
      </c>
      <c r="B7" s="23">
        <f>B5*B6</f>
        <v>0.20448749999999996</v>
      </c>
      <c r="C7" s="3" t="s">
        <v>66</v>
      </c>
    </row>
    <row r="9">
      <c r="A9" s="7" t="s">
        <v>92</v>
      </c>
      <c r="B9" s="10"/>
      <c r="C9" s="10"/>
      <c r="D9" s="10"/>
      <c r="E9" s="10"/>
      <c r="F9" s="10"/>
      <c r="G9" s="10"/>
      <c r="H9" s="10"/>
    </row>
    <row r="10">
      <c r="A10" s="6" t="s">
        <v>93</v>
      </c>
      <c r="B10" s="25">
        <v>800</v>
      </c>
      <c r="D10" s="3" t="s">
        <v>95</v>
      </c>
    </row>
    <row r="11">
      <c r="A11" s="6" t="s">
        <v>96</v>
      </c>
      <c r="B11" s="15">
        <v>400</v>
      </c>
      <c r="C11" s="3" t="s">
        <v>52</v>
      </c>
    </row>
    <row r="12">
      <c r="A12" s="6" t="s">
        <v>98</v>
      </c>
      <c r="B12" s="24">
        <f>IF(B11=0,0,B10*0.1/B11)</f>
        <v>0.2</v>
      </c>
      <c r="C12" s="3" t="s">
        <v>66</v>
      </c>
    </row>
    <row r="13">
      <c r="A13" s="6" t="s">
        <v>111</v>
      </c>
      <c r="B13" s="24">
        <f>IF(B11=0,0,B10*0.25/B11)</f>
        <v>0.5</v>
      </c>
      <c r="C13" s="3" t="s">
        <v>66</v>
      </c>
    </row>
    <row r="14">
      <c r="A14" s="6" t="s">
        <v>117</v>
      </c>
      <c r="B14" s="25">
        <v>1000</v>
      </c>
      <c r="D14" s="3" t="s">
        <v>118</v>
      </c>
    </row>
    <row r="15">
      <c r="A15" s="6" t="s">
        <v>124</v>
      </c>
      <c r="B15" s="24">
        <f>IF(B11=0,0,B14*0.5/B11)</f>
        <v>1.25</v>
      </c>
      <c r="C15" s="3" t="s">
        <v>66</v>
      </c>
    </row>
    <row r="16">
      <c r="A16" s="6" t="s">
        <v>135</v>
      </c>
      <c r="B16" s="24">
        <f>IF(B11=0,0,B14*0.7/B11)</f>
        <v>1.75</v>
      </c>
      <c r="C16" s="3" t="s">
        <v>66</v>
      </c>
    </row>
    <row r="18">
      <c r="A18" s="7" t="s">
        <v>141</v>
      </c>
      <c r="B18" s="10"/>
      <c r="C18" s="10"/>
      <c r="D18" s="10"/>
      <c r="E18" s="10"/>
      <c r="F18" s="10"/>
      <c r="G18" s="10"/>
      <c r="H18" s="10"/>
    </row>
    <row r="19">
      <c r="A19" s="6" t="s">
        <v>142</v>
      </c>
      <c r="B19" s="29">
        <v>0.4</v>
      </c>
      <c r="C19" s="3" t="s">
        <v>66</v>
      </c>
      <c r="D19" s="3" t="s">
        <v>144</v>
      </c>
    </row>
    <row r="20">
      <c r="A20" s="6" t="s">
        <v>145</v>
      </c>
      <c r="B20" s="30">
        <f>IF(B5=0,0,B19/B5)</f>
        <v>5.868329359985331</v>
      </c>
    </row>
    <row r="21" ht="15.75" customHeight="1">
      <c r="A21" s="12" t="s">
        <v>154</v>
      </c>
      <c r="B21" s="31">
        <f>IF(B19=0,0,(B19-B5)/B19)</f>
        <v>0.82959375</v>
      </c>
    </row>
    <row r="22" ht="15.75" customHeight="1">
      <c r="A22" s="6" t="s">
        <v>158</v>
      </c>
      <c r="B22" s="8" t="str">
        <f>IF(B20&gt;=B6,"OK — ĐẠT","KHÔNG ĐẠT — quay lại tab 1")</f>
        <v>OK — ĐẠT</v>
      </c>
    </row>
    <row r="23" ht="15.75" customHeight="1">
      <c r="A23" s="6" t="s">
        <v>161</v>
      </c>
      <c r="B23" s="8" t="str">
        <f>IF(B21&gt;=0.6,"OK — AN TOÀN (≥60%)",IF(B21&gt;=0.5,"CẢNH BÁO (50–60%)","NGUY HIỂM (&lt;50%)"))</f>
        <v>OK — AN TOÀN (≥60%)</v>
      </c>
    </row>
    <row r="24" ht="15.75" customHeight="1">
      <c r="A24" s="6" t="s">
        <v>168</v>
      </c>
      <c r="B24" s="8" t="str">
        <f>IF(B21&gt;0.85,"NGHI NGỜ — nhiều khả năng bạn quên một khoản chi phí","OK")</f>
        <v>OK</v>
      </c>
    </row>
    <row r="25" ht="15.75" customHeight="1">
      <c r="A25" s="6" t="s">
        <v>174</v>
      </c>
      <c r="B25" s="8" t="str">
        <f>IF(AND(B19&gt;=B7,B19&lt;=MAX(B13,B16)),"OK — trong vùng giá bán","XEM LẠI — ngoài vùng giá sàn/trần")</f>
        <v>OK — trong vùng giá bán</v>
      </c>
    </row>
    <row r="26" ht="15.75" customHeight="1"/>
    <row r="27" ht="15.75" customHeight="1">
      <c r="A27" s="7" t="s">
        <v>178</v>
      </c>
      <c r="B27" s="10"/>
      <c r="C27" s="10"/>
      <c r="D27" s="10"/>
      <c r="E27" s="10"/>
      <c r="F27" s="10"/>
      <c r="G27" s="10"/>
      <c r="H27" s="10"/>
    </row>
    <row r="28" ht="15.75" customHeight="1">
      <c r="A28" s="3" t="s">
        <v>180</v>
      </c>
    </row>
    <row r="29" ht="15.75" customHeight="1">
      <c r="A29" s="6" t="s">
        <v>183</v>
      </c>
      <c r="B29" s="20">
        <f>'1_Cost_Job'!B31+'1_Cost_Job'!B38+'1_Cost_Job'!B43+'1_Cost_Job'!B47</f>
        <v>0.032029999999999996</v>
      </c>
    </row>
    <row r="30" ht="15.75" customHeight="1">
      <c r="A30" s="6" t="s">
        <v>189</v>
      </c>
      <c r="B30" s="20">
        <f>'1_Cost_Job'!B51*('1_Cost_Job'!B52/60)*'1_Cost_Job'!B50</f>
        <v>0.022500000000000006</v>
      </c>
    </row>
    <row r="31" ht="15.75" customHeight="1">
      <c r="A31" s="6" t="s">
        <v>197</v>
      </c>
      <c r="B31" s="20">
        <f>IF('1_Cost_Job'!B6="B",('1_Cost_Job'!B53/60)*'1_Cost_Job'!B50,0)</f>
        <v>0</v>
      </c>
    </row>
    <row r="32" ht="15.75" customHeight="1">
      <c r="A32" s="6" t="s">
        <v>207</v>
      </c>
      <c r="B32" s="16">
        <v>0.6</v>
      </c>
    </row>
    <row r="33" ht="15.75" customHeight="1">
      <c r="A33" s="12" t="s">
        <v>208</v>
      </c>
      <c r="B33" s="31">
        <f>IF((B19*(1-B32)+B31)=0,0,(B29+B30+B31)/(B19*(1-B32)+B31))</f>
        <v>0.34081249999999996</v>
      </c>
      <c r="D33" s="3" t="s">
        <v>215</v>
      </c>
    </row>
    <row r="34" ht="15.75" customHeight="1">
      <c r="A34" s="6" t="s">
        <v>216</v>
      </c>
      <c r="B34" s="34">
        <f>'1_Cost_Job'!B10</f>
        <v>0.8</v>
      </c>
    </row>
    <row r="35" ht="15.75" customHeight="1">
      <c r="A35" s="6" t="s">
        <v>225</v>
      </c>
      <c r="B35" s="8" t="str">
        <f>IF(B34&gt;=B33,"ĐẠT — mô hình có lãi lành mạnh","CHƯA ĐẠT — phải tăng containment, tăng giá, hoặc đổi biến thể HITL")</f>
        <v>ĐẠT — mô hình có lãi lành mạnh</v>
      </c>
    </row>
    <row r="36" ht="15.75" customHeight="1"/>
    <row r="37" ht="15.75" customHeight="1">
      <c r="A37" s="7" t="s">
        <v>227</v>
      </c>
      <c r="B37" s="10"/>
      <c r="C37" s="10"/>
      <c r="D37" s="10"/>
      <c r="E37" s="10"/>
      <c r="F37" s="10"/>
      <c r="G37" s="10"/>
      <c r="H37" s="10"/>
    </row>
    <row r="38" ht="15.75" customHeight="1">
      <c r="A38" s="27" t="s">
        <v>228</v>
      </c>
      <c r="B38" s="27" t="s">
        <v>230</v>
      </c>
      <c r="C38" s="27" t="s">
        <v>231</v>
      </c>
      <c r="D38" s="27" t="s">
        <v>232</v>
      </c>
    </row>
    <row r="39" ht="15.75" customHeight="1">
      <c r="A39" s="40">
        <v>0.5</v>
      </c>
      <c r="B39" s="24">
        <f t="shared" ref="B39:B44" si="1">($B$29+$B$30+$B$31*(1-A39))/A39</f>
        <v>0.10906</v>
      </c>
      <c r="C39" s="28">
        <f t="shared" ref="C39:C44" si="2">IF($B$19=0,0,1-B39/$B$19)</f>
        <v>0.7273499999999999</v>
      </c>
      <c r="D39" s="8" t="str">
        <f t="shared" ref="D39:D44" si="3">IF(C39&gt;=0.6,"An toàn",IF(C39&gt;=0.5,"Cảnh báo","Nguy hiểm"))</f>
        <v>An toàn</v>
      </c>
    </row>
    <row r="40" ht="15.75" customHeight="1">
      <c r="A40" s="40">
        <v>0.6</v>
      </c>
      <c r="B40" s="24">
        <f t="shared" si="1"/>
        <v>0.09088333333333334</v>
      </c>
      <c r="C40" s="28">
        <f t="shared" si="2"/>
        <v>0.7727916666666667</v>
      </c>
      <c r="D40" s="8" t="str">
        <f t="shared" si="3"/>
        <v>An toàn</v>
      </c>
    </row>
    <row r="41" ht="15.75" customHeight="1">
      <c r="A41" s="40">
        <v>0.7</v>
      </c>
      <c r="B41" s="24">
        <f t="shared" si="1"/>
        <v>0.07790000000000001</v>
      </c>
      <c r="C41" s="28">
        <f t="shared" si="2"/>
        <v>0.80525</v>
      </c>
      <c r="D41" s="8" t="str">
        <f t="shared" si="3"/>
        <v>An toàn</v>
      </c>
    </row>
    <row r="42" ht="15.75" customHeight="1">
      <c r="A42" s="40">
        <v>0.8</v>
      </c>
      <c r="B42" s="24">
        <f t="shared" si="1"/>
        <v>0.0681625</v>
      </c>
      <c r="C42" s="28">
        <f t="shared" si="2"/>
        <v>0.82959375</v>
      </c>
      <c r="D42" s="8" t="str">
        <f t="shared" si="3"/>
        <v>An toàn</v>
      </c>
    </row>
    <row r="43" ht="15.75" customHeight="1">
      <c r="A43" s="40">
        <v>0.9</v>
      </c>
      <c r="B43" s="24">
        <f t="shared" si="1"/>
        <v>0.06058888888888889</v>
      </c>
      <c r="C43" s="28">
        <f t="shared" si="2"/>
        <v>0.8485277777777778</v>
      </c>
      <c r="D43" s="8" t="str">
        <f t="shared" si="3"/>
        <v>An toàn</v>
      </c>
    </row>
    <row r="44" ht="15.75" customHeight="1">
      <c r="A44" s="40">
        <v>0.95</v>
      </c>
      <c r="B44" s="24">
        <f t="shared" si="1"/>
        <v>0.05740000000000001</v>
      </c>
      <c r="C44" s="28">
        <f t="shared" si="2"/>
        <v>0.8565</v>
      </c>
      <c r="D44" s="8" t="str">
        <f t="shared" si="3"/>
        <v>An toàn</v>
      </c>
    </row>
    <row r="45" ht="15.75" customHeight="1"/>
    <row r="46" ht="15.75" customHeight="1">
      <c r="A46" s="3" t="s">
        <v>283</v>
      </c>
    </row>
    <row r="47" ht="15.75" customHeight="1"/>
    <row r="48" ht="15.75" customHeight="1">
      <c r="A48" s="7" t="s">
        <v>285</v>
      </c>
      <c r="B48" s="10"/>
      <c r="C48" s="10"/>
      <c r="D48" s="10"/>
      <c r="E48" s="10"/>
      <c r="F48" s="10"/>
      <c r="G48" s="10"/>
      <c r="H48" s="10"/>
    </row>
    <row r="49" ht="15.75" customHeight="1">
      <c r="A49" s="12" t="s">
        <v>230</v>
      </c>
      <c r="B49" s="23">
        <f>B5</f>
        <v>0.06816249999999999</v>
      </c>
    </row>
    <row r="50" ht="15.75" customHeight="1">
      <c r="A50" s="12" t="s">
        <v>292</v>
      </c>
      <c r="B50" s="23">
        <f>B7</f>
        <v>0.20448749999999996</v>
      </c>
    </row>
    <row r="51" ht="15.75" customHeight="1">
      <c r="A51" s="12" t="s">
        <v>293</v>
      </c>
      <c r="B51" s="23">
        <f>B19</f>
        <v>0.4</v>
      </c>
    </row>
    <row r="52" ht="15.75" customHeight="1">
      <c r="A52" s="12" t="s">
        <v>231</v>
      </c>
      <c r="B52" s="31">
        <f>B21</f>
        <v>0.82959375</v>
      </c>
    </row>
    <row r="53" ht="15.75" customHeight="1">
      <c r="A53" s="12" t="s">
        <v>294</v>
      </c>
      <c r="B53" s="31">
        <f>B33</f>
        <v>0.34081249999999996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4.43" defaultRowHeight="15.0"/>
  <cols>
    <col customWidth="1" min="1" max="1" width="72.0"/>
    <col customWidth="1" min="2" max="2" width="12.0"/>
    <col customWidth="1" min="3" max="3" width="50.0"/>
    <col customWidth="1" min="4" max="4" width="46.0"/>
    <col customWidth="1" min="5" max="8" width="15.0"/>
    <col customWidth="1" min="9" max="26" width="8.71"/>
  </cols>
  <sheetData>
    <row r="1" ht="24.0" customHeight="1">
      <c r="A1" s="1" t="s">
        <v>8</v>
      </c>
      <c r="B1" s="2"/>
      <c r="C1" s="2"/>
      <c r="D1" s="2"/>
      <c r="E1" s="2"/>
      <c r="F1" s="2"/>
      <c r="G1" s="2"/>
      <c r="H1" s="2"/>
    </row>
    <row r="2">
      <c r="A2" s="3" t="s">
        <v>14</v>
      </c>
    </row>
    <row r="4">
      <c r="A4" s="7" t="s">
        <v>17</v>
      </c>
      <c r="B4" s="10"/>
      <c r="C4" s="10"/>
      <c r="D4" s="10"/>
      <c r="E4" s="10"/>
      <c r="F4" s="10"/>
      <c r="G4" s="10"/>
      <c r="H4" s="10"/>
    </row>
    <row r="5">
      <c r="A5" s="6" t="s">
        <v>26</v>
      </c>
      <c r="B5" s="13">
        <v>0</v>
      </c>
    </row>
    <row r="6">
      <c r="A6" s="14" t="s">
        <v>44</v>
      </c>
      <c r="B6" s="13">
        <v>0</v>
      </c>
    </row>
    <row r="7">
      <c r="A7" s="6" t="s">
        <v>49</v>
      </c>
      <c r="B7" s="13">
        <v>0</v>
      </c>
    </row>
    <row r="8">
      <c r="A8" s="6" t="s">
        <v>50</v>
      </c>
      <c r="B8" s="13">
        <v>0</v>
      </c>
    </row>
    <row r="9">
      <c r="A9" s="6" t="s">
        <v>51</v>
      </c>
      <c r="B9" s="13">
        <v>1</v>
      </c>
    </row>
    <row r="10">
      <c r="A10" s="12" t="s">
        <v>53</v>
      </c>
      <c r="B10" s="18">
        <f>SUM(B5:B9)</f>
        <v>1</v>
      </c>
    </row>
    <row r="12">
      <c r="A12" s="7" t="s">
        <v>58</v>
      </c>
      <c r="B12" s="10"/>
      <c r="C12" s="10"/>
      <c r="D12" s="10"/>
      <c r="E12" s="10"/>
      <c r="F12" s="10"/>
      <c r="G12" s="10"/>
      <c r="H12" s="10"/>
    </row>
    <row r="13">
      <c r="A13" s="6" t="s">
        <v>59</v>
      </c>
      <c r="B13" s="13">
        <v>0</v>
      </c>
    </row>
    <row r="14">
      <c r="A14" s="6" t="s">
        <v>60</v>
      </c>
      <c r="B14" s="13">
        <v>0</v>
      </c>
    </row>
    <row r="15">
      <c r="A15" s="6" t="s">
        <v>62</v>
      </c>
      <c r="B15" s="13">
        <v>0</v>
      </c>
    </row>
    <row r="16">
      <c r="A16" s="6" t="s">
        <v>64</v>
      </c>
      <c r="B16" s="13">
        <v>0</v>
      </c>
    </row>
    <row r="17">
      <c r="A17" s="6" t="s">
        <v>65</v>
      </c>
      <c r="B17" s="13">
        <v>0</v>
      </c>
    </row>
    <row r="18">
      <c r="A18" s="12" t="s">
        <v>67</v>
      </c>
      <c r="B18" s="18">
        <f>SUM(B13:B17)</f>
        <v>0</v>
      </c>
    </row>
    <row r="20">
      <c r="A20" s="7" t="s">
        <v>73</v>
      </c>
      <c r="B20" s="10"/>
      <c r="C20" s="10"/>
      <c r="D20" s="10"/>
      <c r="E20" s="10"/>
      <c r="F20" s="10"/>
      <c r="G20" s="10"/>
      <c r="H20" s="10"/>
    </row>
    <row r="21" ht="15.75" customHeight="1">
      <c r="A21" s="12" t="s">
        <v>78</v>
      </c>
      <c r="B21" s="26" t="str">
        <f>IF(AND(B10&gt;=7,B18&gt;=7),"OUTCOME",IF(AND(B10&gt;=7,B18&lt;7),"USAGE",IF(AND(B10&lt;7,B18&gt;=7),"USAGE (an toàn)","SEAT hoặc HYBRID")))</f>
        <v>SEAT hoặc HYBRID</v>
      </c>
    </row>
    <row r="22" ht="15.75" customHeight="1">
      <c r="A22" s="3" t="s">
        <v>99</v>
      </c>
    </row>
    <row r="23" ht="15.75" customHeight="1"/>
    <row r="24" ht="15.75" customHeight="1">
      <c r="A24" s="7" t="s">
        <v>100</v>
      </c>
      <c r="B24" s="10"/>
      <c r="C24" s="10"/>
      <c r="D24" s="10"/>
      <c r="E24" s="10"/>
      <c r="F24" s="10"/>
      <c r="G24" s="10"/>
      <c r="H24" s="10"/>
    </row>
    <row r="25" ht="15.75" customHeight="1">
      <c r="A25" s="27" t="s">
        <v>101</v>
      </c>
      <c r="B25" s="27" t="s">
        <v>103</v>
      </c>
      <c r="C25" s="27" t="s">
        <v>104</v>
      </c>
      <c r="D25" s="27" t="s">
        <v>105</v>
      </c>
    </row>
    <row r="26" ht="44" customHeight="1">
      <c r="A26" s="45" t="inlineStr">
        <is>
          <t>Notion Custom Agents</t>
        </is>
      </c>
      <c r="B26" s="45" t="inlineStr">
        <is>
          <t>Hybrid</t>
        </is>
      </c>
      <c r="C26" s="45" t="inlineStr">
        <is>
          <t>$10/1.000 credits; monthly; 08/10/2026</t>
        </is>
      </c>
      <c r="D26" s="45" t="inlineStr">
        <is>
          <t>https://www.notion.com/help/what-are-notion-credits</t>
        </is>
      </c>
    </row>
    <row r="27" ht="44" customHeight="1">
      <c r="A27" s="45" t="inlineStr">
        <is>
          <t>Otter Pro</t>
        </is>
      </c>
      <c r="B27" s="45" t="inlineStr">
        <is>
          <t>Seat + quota</t>
        </is>
      </c>
      <c r="C27" s="45" t="inlineStr">
        <is>
          <t>$16,99/user/tháng; monthly; 08/10/2026</t>
        </is>
      </c>
      <c r="D27" s="45" t="inlineStr">
        <is>
          <t>https://otter.ai/pricing</t>
        </is>
      </c>
    </row>
    <row r="28" ht="15.75" customHeight="1"/>
    <row r="29" ht="15.75" customHeight="1">
      <c r="A29" s="7" t="s">
        <v>107</v>
      </c>
      <c r="B29" s="10"/>
      <c r="C29" s="10"/>
      <c r="D29" s="10"/>
      <c r="E29" s="10"/>
      <c r="F29" s="10"/>
      <c r="G29" s="10"/>
      <c r="H29" s="10"/>
    </row>
    <row r="30" ht="27" customHeight="1">
      <c r="A30" s="6" t="s">
        <v>108</v>
      </c>
      <c r="B30" s="45" t="inlineStr">
        <is>
          <t>Usage</t>
        </is>
      </c>
    </row>
    <row r="31" ht="163" customHeight="1">
      <c r="A31" s="6" t="s">
        <v>110</v>
      </c>
      <c r="B31" s="45" t="inlineStr">
        <is>
          <t>SME trả theo số nháp, không theo số học viên; chỉ thử sau khi có bộ đếm job.</t>
        </is>
      </c>
    </row>
    <row r="32" ht="163" customHeight="1">
      <c r="A32" s="6" t="s">
        <v>112</v>
      </c>
      <c r="B32" s="45" t="inlineStr">
        <is>
          <t>Tôi chọn $0,40/nháp hoàn thành, cap 400/tháng; lỗi/retry/sửa không tính thêm.</t>
        </is>
      </c>
    </row>
    <row r="33" ht="180" customHeight="1">
      <c r="A33" s="6" t="s">
        <v>114</v>
      </c>
      <c r="B33" s="45" t="inlineStr">
        <is>
          <t>Attribution 1/10, Autonomy 0/10: chưa eval/log, prototype dựng sẵn; không bán Outcome.</t>
        </is>
      </c>
    </row>
    <row r="34" ht="163" customHeight="1">
      <c r="A34" s="6" t="s">
        <v>115</v>
      </c>
      <c r="B34" s="45" t="inlineStr">
        <is>
          <t>Lỗ nếu tạo lại không giới hạn hoặc containment thấp; chặn cap, xin phép lượt mới.</t>
        </is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4.43" defaultRowHeight="15.0"/>
  <cols>
    <col customWidth="1" min="1" max="1" width="46.0"/>
    <col customWidth="1" min="2" max="3" width="16.0"/>
    <col customWidth="1" min="4" max="4" width="54.0"/>
    <col customWidth="1" min="5" max="8" width="15.0"/>
    <col customWidth="1" min="9" max="26" width="8.71"/>
  </cols>
  <sheetData>
    <row r="1" ht="24.0" customHeight="1">
      <c r="A1" s="1" t="s">
        <v>160</v>
      </c>
      <c r="B1" s="2"/>
      <c r="C1" s="2"/>
      <c r="D1" s="2"/>
      <c r="E1" s="2"/>
      <c r="F1" s="2"/>
      <c r="G1" s="2"/>
      <c r="H1" s="2"/>
    </row>
    <row r="2">
      <c r="A2" s="3" t="s">
        <v>162</v>
      </c>
    </row>
    <row r="4">
      <c r="A4" s="7" t="s">
        <v>163</v>
      </c>
      <c r="B4" s="10"/>
      <c r="C4" s="10"/>
      <c r="D4" s="10"/>
      <c r="E4" s="10"/>
      <c r="F4" s="10"/>
      <c r="G4" s="10"/>
      <c r="H4" s="10"/>
    </row>
    <row r="5">
      <c r="A5" s="6" t="s">
        <v>166</v>
      </c>
      <c r="B5" s="25">
        <v>160</v>
      </c>
    </row>
    <row r="6">
      <c r="A6" s="6" t="s">
        <v>167</v>
      </c>
      <c r="B6" s="34">
        <f>'2_Pricing'!B21</f>
        <v>0.82959375</v>
      </c>
    </row>
    <row r="7" ht="27" customHeight="1">
      <c r="A7" s="6" t="s">
        <v>179</v>
      </c>
      <c r="B7" s="46" t="inlineStr">
        <is>
          <t>SMB</t>
        </is>
      </c>
    </row>
    <row r="8">
      <c r="A8" s="6" t="s">
        <v>184</v>
      </c>
      <c r="B8" s="19">
        <f>IF(B7="SMB",12,IF(B7="Mid",18,24))</f>
        <v>12</v>
      </c>
      <c r="C8" s="3" t="s">
        <v>187</v>
      </c>
      <c r="D8" s="3" t="s">
        <v>188</v>
      </c>
    </row>
    <row r="9">
      <c r="A9" s="12" t="s">
        <v>190</v>
      </c>
      <c r="B9" s="35">
        <f>B5*B6*B8</f>
        <v>1592.8200000000002</v>
      </c>
      <c r="D9" s="3" t="s">
        <v>195</v>
      </c>
    </row>
    <row r="10">
      <c r="A10" s="6" t="s">
        <v>196</v>
      </c>
      <c r="B10" s="37">
        <f>B5*12</f>
        <v>1920</v>
      </c>
    </row>
    <row r="12">
      <c r="A12" s="7" t="s">
        <v>200</v>
      </c>
      <c r="B12" s="10"/>
      <c r="C12" s="10"/>
      <c r="D12" s="10"/>
      <c r="E12" s="10"/>
      <c r="F12" s="10"/>
      <c r="G12" s="10"/>
      <c r="H12" s="10"/>
    </row>
    <row r="13">
      <c r="A13" s="6" t="s">
        <v>202</v>
      </c>
      <c r="B13" s="25">
        <v>75000</v>
      </c>
      <c r="D13" s="3" t="s">
        <v>203</v>
      </c>
    </row>
    <row r="14">
      <c r="A14" s="6" t="s">
        <v>204</v>
      </c>
      <c r="B14" s="15">
        <v>250</v>
      </c>
      <c r="C14" s="3" t="s">
        <v>205</v>
      </c>
    </row>
    <row r="15">
      <c r="A15" s="6" t="s">
        <v>206</v>
      </c>
      <c r="B15" s="19">
        <f>IF(B10=0,0,B13/B10)</f>
        <v>39.0625</v>
      </c>
    </row>
    <row r="16">
      <c r="A16" s="12" t="s">
        <v>210</v>
      </c>
      <c r="B16" s="38">
        <f>IF(B14=0,0,B15/B14)</f>
        <v>0.15625</v>
      </c>
      <c r="C16" s="3" t="s">
        <v>212</v>
      </c>
    </row>
    <row r="17">
      <c r="A17" s="6" t="s">
        <v>213</v>
      </c>
      <c r="B17" s="8" t="str">
        <f>IF(B16&lt;=1,"KHẢ THI về mặt số học","BẤT KHẢ THI — ACV quá thấp để nuôi sales rep")</f>
        <v>KHẢ THI về mặt số học</v>
      </c>
    </row>
    <row r="19">
      <c r="A19" s="7" t="s">
        <v>218</v>
      </c>
      <c r="B19" s="10"/>
      <c r="C19" s="10"/>
      <c r="D19" s="10"/>
      <c r="E19" s="10"/>
      <c r="F19" s="10"/>
      <c r="G19" s="10"/>
      <c r="H19" s="10"/>
    </row>
    <row r="20">
      <c r="A20" s="6" t="s">
        <v>219</v>
      </c>
      <c r="B20" s="25">
        <v>1000</v>
      </c>
      <c r="D20" s="3" t="s">
        <v>220</v>
      </c>
    </row>
    <row r="21" ht="15.75" customHeight="1">
      <c r="A21" s="6" t="s">
        <v>221</v>
      </c>
      <c r="B21" s="16">
        <v>0.2</v>
      </c>
    </row>
    <row r="22" ht="15.75" customHeight="1">
      <c r="A22" s="6" t="s">
        <v>223</v>
      </c>
      <c r="B22" s="37">
        <f>IF(B21=0,0,B20/B21)</f>
        <v>5000</v>
      </c>
    </row>
    <row r="23" ht="15.75" customHeight="1">
      <c r="A23" s="12" t="s">
        <v>226</v>
      </c>
      <c r="B23" s="39">
        <f>IF(B9=0,0,B22/B9)</f>
        <v>3.1390866513479234</v>
      </c>
      <c r="D23" s="3" t="s">
        <v>229</v>
      </c>
    </row>
    <row r="24" ht="15.75" customHeight="1">
      <c r="A24" s="6" t="s">
        <v>225</v>
      </c>
      <c r="B24" s="8" t="str">
        <f>IF(B23&lt;=1,"Motion có sales KHẢ THI",IF(B23&lt;=3,"Căng — cần tăng giá hoặc giảm chi phí bán hàng","KHÔNG KHẢ THI — đi PLG hoặc Partner-Led"))</f>
        <v>KHÔNG KHẢ THI — đi PLG hoặc Partner-Led</v>
      </c>
    </row>
    <row r="25" ht="15.75" customHeight="1"/>
    <row r="26" ht="15.75" customHeight="1">
      <c r="A26" s="7" t="s">
        <v>233</v>
      </c>
      <c r="B26" s="10"/>
      <c r="C26" s="10"/>
      <c r="D26" s="10"/>
      <c r="E26" s="10"/>
      <c r="F26" s="10"/>
      <c r="G26" s="10"/>
      <c r="H26" s="10"/>
    </row>
    <row r="27" ht="15.75" customHeight="1">
      <c r="A27" s="27" t="s">
        <v>234</v>
      </c>
      <c r="B27" s="27" t="s">
        <v>235</v>
      </c>
      <c r="C27" s="27" t="s">
        <v>236</v>
      </c>
      <c r="D27" s="27" t="s">
        <v>237</v>
      </c>
    </row>
    <row r="28" ht="15.75" customHeight="1">
      <c r="A28" s="6" t="s">
        <v>238</v>
      </c>
      <c r="B28" s="13">
        <v>4</v>
      </c>
      <c r="C28" s="13">
        <v>1</v>
      </c>
      <c r="D28" s="13">
        <v>2</v>
      </c>
    </row>
    <row r="29" ht="15.75" customHeight="1">
      <c r="A29" s="6" t="s">
        <v>239</v>
      </c>
      <c r="B29" s="13">
        <v>3</v>
      </c>
      <c r="C29" s="13">
        <v>2</v>
      </c>
      <c r="D29" s="13">
        <v>2</v>
      </c>
    </row>
    <row r="30" ht="15.75" customHeight="1">
      <c r="A30" s="6" t="s">
        <v>240</v>
      </c>
      <c r="B30" s="13">
        <v>3</v>
      </c>
      <c r="C30" s="13">
        <v>2</v>
      </c>
      <c r="D30" s="13">
        <v>1</v>
      </c>
    </row>
    <row r="31" ht="15.75" customHeight="1">
      <c r="A31" s="6" t="s">
        <v>241</v>
      </c>
      <c r="B31" s="13">
        <v>2</v>
      </c>
      <c r="C31" s="13">
        <v>2</v>
      </c>
      <c r="D31" s="13">
        <v>1</v>
      </c>
    </row>
    <row r="32" ht="15.75" customHeight="1">
      <c r="A32" s="6" t="s">
        <v>242</v>
      </c>
      <c r="B32" s="13">
        <v>4</v>
      </c>
      <c r="C32" s="13">
        <v>3</v>
      </c>
      <c r="D32" s="13">
        <v>2</v>
      </c>
    </row>
    <row r="33" ht="15.75" customHeight="1">
      <c r="A33" s="6" t="s">
        <v>243</v>
      </c>
      <c r="B33" s="13">
        <v>4</v>
      </c>
      <c r="C33" s="13">
        <v>3</v>
      </c>
      <c r="D33" s="13">
        <v>2</v>
      </c>
    </row>
    <row r="34" ht="15.75" customHeight="1">
      <c r="A34" s="12" t="s">
        <v>245</v>
      </c>
      <c r="B34" s="26">
        <f t="shared" ref="B34:D34" si="1">SUM(B28:B33)</f>
        <v>20</v>
      </c>
      <c r="C34" s="26">
        <f t="shared" si="1"/>
        <v>13</v>
      </c>
      <c r="D34" s="26">
        <f t="shared" si="1"/>
        <v>10</v>
      </c>
    </row>
    <row r="35" ht="15.75" customHeight="1">
      <c r="A35" s="12" t="s">
        <v>248</v>
      </c>
      <c r="B35" s="26" t="str">
        <f>IF(AND(B34&gt;=C34,B34&gt;=D34),"PLG",IF(C34&gt;=D34,"Sales-Led","Partner-Led"))</f>
        <v>PLG</v>
      </c>
    </row>
    <row r="36" ht="15.75" customHeight="1"/>
    <row r="37" ht="15.75" customHeight="1">
      <c r="A37" s="7" t="s">
        <v>255</v>
      </c>
      <c r="B37" s="10"/>
      <c r="C37" s="10"/>
      <c r="D37" s="10"/>
      <c r="E37" s="10"/>
      <c r="F37" s="10"/>
      <c r="G37" s="10"/>
      <c r="H37" s="10"/>
    </row>
    <row r="38" ht="27" customHeight="1">
      <c r="A38" s="6" t="s">
        <v>259</v>
      </c>
      <c r="B38" s="45" t="inlineStr">
        <is>
          <t>PLG</t>
        </is>
      </c>
      <c r="D38" s="3" t="s">
        <v>261</v>
      </c>
    </row>
    <row r="39" ht="27" customHeight="1">
      <c r="A39" s="6" t="s">
        <v>262</v>
      </c>
      <c r="B39" s="45" t="inlineStr">
        <is>
          <t>Không áp dụng</t>
        </is>
      </c>
      <c r="D39" s="3" t="s">
        <v>263</v>
      </c>
    </row>
    <row r="40" ht="27" customHeight="1">
      <c r="A40" s="6" t="s">
        <v>264</v>
      </c>
      <c r="B40" s="45" t="inlineStr">
        <is>
          <t>Chưa</t>
        </is>
      </c>
    </row>
    <row r="41" ht="78" customHeight="1">
      <c r="A41" s="6" t="s">
        <v>266</v>
      </c>
      <c r="B41" s="45" t="inlineStr">
        <is>
          <t>Chưa có partner; không giả định quyền VLearn.</t>
        </is>
      </c>
    </row>
    <row r="42" ht="95" customHeight="1">
      <c r="A42" s="6" t="s">
        <v>268</v>
      </c>
      <c r="B42" s="45" t="inlineStr">
        <is>
          <t>Thử self-service nhỏ; đo CAC, dừng nếu chưa có kênh nhập dữ liệu.</t>
        </is>
      </c>
      <c r="D42" s="3" t="s">
        <v>269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7">
      <formula1>"SMB,Mid,Enterprise"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4" width="34.0"/>
    <col customWidth="1" min="5" max="8" width="15.0"/>
    <col customWidth="1" min="9" max="26" width="8.71"/>
  </cols>
  <sheetData>
    <row r="1" ht="24.0" customHeight="1">
      <c r="A1" s="1" t="s">
        <v>244</v>
      </c>
      <c r="B1" s="2"/>
      <c r="C1" s="2"/>
      <c r="D1" s="2"/>
      <c r="E1" s="2"/>
      <c r="F1" s="2"/>
      <c r="G1" s="2"/>
      <c r="H1" s="2"/>
    </row>
    <row r="2">
      <c r="A2" s="3" t="s">
        <v>246</v>
      </c>
    </row>
    <row r="4">
      <c r="A4" s="7" t="s">
        <v>247</v>
      </c>
      <c r="B4" s="10"/>
      <c r="C4" s="10"/>
      <c r="D4" s="10"/>
      <c r="E4" s="10"/>
      <c r="F4" s="10"/>
      <c r="G4" s="10"/>
      <c r="H4" s="10"/>
    </row>
    <row r="5" ht="27" customHeight="1">
      <c r="A5" s="6" t="s">
        <v>249</v>
      </c>
      <c r="B5" s="45" t="inlineStr">
        <is>
          <t>21:30 (giả thuyết)</t>
        </is>
      </c>
    </row>
    <row r="6" ht="44" customHeight="1">
      <c r="A6" s="6" t="s">
        <v>250</v>
      </c>
      <c r="B6" s="45" t="inlineStr">
        <is>
          <t>Học xong, gom ghi chú để làm lab hôm sau.</t>
        </is>
      </c>
    </row>
    <row r="7" ht="27" customHeight="1">
      <c r="A7" s="6" t="s">
        <v>251</v>
      </c>
      <c r="B7" s="45" t="inlineStr">
        <is>
          <t>VLearn và tab ghi chú.</t>
        </is>
      </c>
    </row>
    <row r="8" ht="61" customHeight="1">
      <c r="A8" s="6" t="s">
        <v>252</v>
      </c>
      <c r="B8" s="45" t="inlineStr">
        <is>
          <t>Đề xuất sidebar bài VLearn; chưa có quyền/API; pilot nhập transcript có phép.</t>
        </is>
      </c>
      <c r="D8" s="3" t="s">
        <v>253</v>
      </c>
    </row>
    <row r="10">
      <c r="A10" s="7" t="s">
        <v>254</v>
      </c>
      <c r="B10" s="10"/>
      <c r="C10" s="10"/>
      <c r="D10" s="10"/>
      <c r="E10" s="10"/>
      <c r="F10" s="10"/>
      <c r="G10" s="10"/>
      <c r="H10" s="10"/>
    </row>
    <row r="11">
      <c r="A11" s="27"/>
      <c r="B11" s="27" t="s">
        <v>256</v>
      </c>
      <c r="C11" s="27" t="s">
        <v>257</v>
      </c>
      <c r="D11" s="27" t="s">
        <v>258</v>
      </c>
    </row>
    <row r="12" ht="27" customHeight="1">
      <c r="A12" s="6" t="s">
        <v>260</v>
      </c>
      <c r="B12" s="47" t="inlineStr">
        <is>
          <t>PLG - học quy trình</t>
        </is>
      </c>
      <c r="C12" s="47" t="inlineStr">
        <is>
          <t>PLG - self-service</t>
        </is>
      </c>
      <c r="D12" s="47" t="inlineStr">
        <is>
          <t>PLG - có điều kiện</t>
        </is>
      </c>
    </row>
    <row r="13" ht="27" customHeight="1">
      <c r="A13" s="6" t="s">
        <v>267</v>
      </c>
      <c r="B13" s="47" t="inlineStr">
        <is>
          <t>2 SME pilot (chưa tuyển)</t>
        </is>
      </c>
      <c r="C13" s="47" t="inlineStr">
        <is>
          <t>5 SME trả phí (mục tiêu)</t>
        </is>
      </c>
      <c r="D13" s="47" t="inlineStr">
        <is>
          <t>10 SME nếu qua gate</t>
        </is>
      </c>
    </row>
    <row r="14" ht="44" customHeight="1">
      <c r="A14" s="6" t="s">
        <v>270</v>
      </c>
      <c r="B14" s="47" t="inlineStr">
        <is>
          <t>Phỏng vấn buyer + đo ghi chú thủ công.</t>
        </is>
      </c>
      <c r="C14" s="47" t="inlineStr">
        <is>
          <t>Onboarding nhập transcript có phép.</t>
        </is>
      </c>
      <c r="D14" s="47" t="inlineStr">
        <is>
          <t>Mở 1 ngách đào tạo gần.</t>
        </is>
      </c>
    </row>
    <row r="15" ht="44" customHeight="1">
      <c r="A15" s="6" t="s">
        <v>271</v>
      </c>
      <c r="B15" s="47" t="inlineStr">
        <is>
          <t>Eval 50 ca; token, retry, QA, thời gian.</t>
        </is>
      </c>
      <c r="C15" s="47" t="inlineStr">
        <is>
          <t>Meter jobID; cap 400; đơn giá rõ.</t>
        </is>
      </c>
      <c r="D15" s="47" t="inlineStr">
        <is>
          <t>Kiểm tra retention trước mở.</t>
        </is>
      </c>
    </row>
    <row r="16" ht="44" customHeight="1">
      <c r="A16" s="6" t="s">
        <v>272</v>
      </c>
      <c r="B16" s="47" t="inlineStr">
        <is>
          <t>Xác minh bề mặt VLearn; không coi đã tích hợp.</t>
        </is>
      </c>
      <c r="C16" s="47" t="inlineStr">
        <is>
          <t>Thử acquisition $200/5 paid (giả định).</t>
        </is>
      </c>
      <c r="D16" s="47" t="inlineStr">
        <is>
          <t>Giữ 1 kênh; chưa chạy Sales/Partner.</t>
        </is>
      </c>
    </row>
    <row r="17" ht="44" customHeight="1">
      <c r="A17" s="6" t="s">
        <v>273</v>
      </c>
      <c r="B17" s="47" t="inlineStr">
        <is>
          <t>50 ca; đo completion, đúng nguồn; chưa có tỷ lệ.</t>
        </is>
      </c>
      <c r="C17" s="47" t="inlineStr">
        <is>
          <t>&gt;=80% job đạt; 5 paid; CAC/payback thực.</t>
        </is>
      </c>
      <c r="D17" s="47" t="inlineStr">
        <is>
          <t>Chỉ mở nếu GM đầy đủ&gt;=60%, có retention.</t>
        </is>
      </c>
    </row>
    <row r="18" ht="27" customHeight="1">
      <c r="A18" s="6" t="s">
        <v>274</v>
      </c>
      <c r="B18" s="47" t="inlineStr">
        <is>
          <t>Viên - 07/11/2026</t>
        </is>
      </c>
      <c r="C18" s="47" t="inlineStr">
        <is>
          <t>Viên - 07/01/2027</t>
        </is>
      </c>
      <c r="D18" s="47" t="inlineStr">
        <is>
          <t>Viên - xét 08/01/2027</t>
        </is>
      </c>
    </row>
    <row r="19">
      <c r="A19" s="3" t="s">
        <v>275</v>
      </c>
    </row>
    <row r="21" ht="15.75" customHeight="1">
      <c r="A21" s="7" t="s">
        <v>276</v>
      </c>
      <c r="B21" s="10"/>
      <c r="C21" s="10"/>
      <c r="D21" s="10"/>
      <c r="E21" s="10"/>
      <c r="F21" s="10"/>
      <c r="G21" s="10"/>
      <c r="H21" s="10"/>
    </row>
    <row r="22" ht="15.75" customHeight="1">
      <c r="A22" s="27" t="s">
        <v>277</v>
      </c>
      <c r="B22" s="27" t="s">
        <v>278</v>
      </c>
      <c r="C22" s="27" t="s">
        <v>279</v>
      </c>
      <c r="D22" s="27" t="s">
        <v>280</v>
      </c>
    </row>
    <row r="23" ht="44" customHeight="1">
      <c r="A23" s="14" t="s">
        <v>281</v>
      </c>
      <c r="B23" s="47" t="inlineStr">
        <is>
          <t>Chưa có eval live</t>
        </is>
      </c>
      <c r="C23" s="47" t="inlineStr">
        <is>
          <t>Bộ 50 ca + rubric + đo cost; xem eval-plan.md</t>
        </is>
      </c>
      <c r="D23" s="47" t="inlineStr">
        <is>
          <t>Viên - 22/10/2026</t>
        </is>
      </c>
    </row>
    <row r="24" ht="44" customHeight="1">
      <c r="A24" s="14" t="s">
        <v>282</v>
      </c>
      <c r="B24" s="47" t="inlineStr">
        <is>
          <t>Có bản Q&amp;A dự thảo</t>
        </is>
      </c>
      <c r="C24" s="47" t="inlineStr">
        <is>
          <t>Sai nguồn, data training, xuất/xóa; controls chưa triển khai.</t>
        </is>
      </c>
      <c r="D24" s="47" t="inlineStr">
        <is>
          <t>Viên - 15/10/2026</t>
        </is>
      </c>
    </row>
    <row r="25" ht="44" customHeight="1">
      <c r="A25" s="6" t="s">
        <v>284</v>
      </c>
      <c r="B25" s="47" t="inlineStr">
        <is>
          <t>Chưa chạy pilot</t>
        </is>
      </c>
      <c r="C25" s="47" t="inlineStr">
        <is>
          <t>2 SME; 2 tuần; đo thời gian/cost; chưa tuyển.</t>
        </is>
      </c>
      <c r="D25" s="47" t="inlineStr">
        <is>
          <t>Viên - 06/11/2026</t>
        </is>
      </c>
    </row>
    <row r="26" ht="15.75" customHeight="1">
      <c r="A26" s="3" t="s">
        <v>286</v>
      </c>
    </row>
    <row r="27" ht="15.75" customHeight="1"/>
    <row r="28" ht="15.75" customHeight="1">
      <c r="A28" s="7" t="s">
        <v>287</v>
      </c>
      <c r="B28" s="10"/>
      <c r="C28" s="10"/>
      <c r="D28" s="10"/>
      <c r="E28" s="10"/>
      <c r="F28" s="10"/>
      <c r="G28" s="10"/>
      <c r="H28" s="10"/>
    </row>
    <row r="29" ht="27" customHeight="1">
      <c r="A29" s="6" t="s">
        <v>288</v>
      </c>
      <c r="B29" s="45" t="inlineStr">
        <is>
          <t>Chưa test - 10/10/2026</t>
        </is>
      </c>
    </row>
    <row r="30" ht="27" customHeight="1">
      <c r="A30" s="6" t="s">
        <v>289</v>
      </c>
      <c r="B30" s="45" t="inlineStr">
        <is>
          <t>Chưa test - 10/10/2026</t>
        </is>
      </c>
    </row>
    <row r="31" ht="27" customHeight="1">
      <c r="A31" s="6" t="s">
        <v>290</v>
      </c>
      <c r="B31" s="45" t="inlineStr">
        <is>
          <t>Chưa test - 10/10/2026</t>
        </is>
      </c>
    </row>
    <row r="32" ht="15.75" customHeight="1">
      <c r="A32" s="6" t="s">
        <v>291</v>
      </c>
      <c r="B32" s="5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30.0"/>
    <col customWidth="1" min="3" max="3" width="20.0"/>
    <col customWidth="1" min="4" max="4" width="16.0"/>
    <col customWidth="1" min="5" max="5" width="56.0"/>
    <col customWidth="1" min="6" max="8" width="15.0"/>
    <col customWidth="1" min="9" max="26" width="8.71"/>
  </cols>
  <sheetData>
    <row r="1" ht="24.0" customHeight="1">
      <c r="A1" s="1" t="s">
        <v>295</v>
      </c>
      <c r="B1" s="2"/>
      <c r="C1" s="2"/>
      <c r="D1" s="2"/>
      <c r="E1" s="2"/>
      <c r="F1" s="2"/>
      <c r="G1" s="2"/>
      <c r="H1" s="2"/>
    </row>
    <row r="2">
      <c r="A2" s="3" t="s">
        <v>296</v>
      </c>
    </row>
    <row r="3" ht="61" customHeight="1">
      <c r="A3" s="6" t="s">
        <v>297</v>
      </c>
      <c r="B3" s="45" t="inlineStr">
        <is>
          <t>08/10/2026; nguồn hiện hành xem assumptions-and-sources.md</t>
        </is>
      </c>
      <c r="D3" s="3" t="s">
        <v>298</v>
      </c>
    </row>
    <row r="5">
      <c r="A5" s="42" t="s">
        <v>299</v>
      </c>
      <c r="B5" s="42" t="s">
        <v>300</v>
      </c>
      <c r="C5" s="42" t="s">
        <v>301</v>
      </c>
      <c r="D5" s="42" t="s">
        <v>302</v>
      </c>
      <c r="E5" s="42" t="s">
        <v>303</v>
      </c>
    </row>
    <row r="6">
      <c r="A6" s="43" t="s">
        <v>201</v>
      </c>
      <c r="B6" s="43" t="s">
        <v>304</v>
      </c>
      <c r="C6" s="43" t="s">
        <v>305</v>
      </c>
      <c r="D6" s="43" t="s">
        <v>306</v>
      </c>
      <c r="E6" s="44" t="s">
        <v>307</v>
      </c>
    </row>
    <row r="7">
      <c r="A7" s="43" t="s">
        <v>201</v>
      </c>
      <c r="B7" s="43" t="s">
        <v>308</v>
      </c>
      <c r="C7" s="43" t="s">
        <v>309</v>
      </c>
      <c r="D7" s="43" t="s">
        <v>306</v>
      </c>
      <c r="E7" s="44" t="s">
        <v>307</v>
      </c>
    </row>
    <row r="8">
      <c r="A8" s="43" t="s">
        <v>201</v>
      </c>
      <c r="B8" s="43" t="s">
        <v>310</v>
      </c>
      <c r="C8" s="43" t="s">
        <v>311</v>
      </c>
      <c r="D8" s="43" t="s">
        <v>306</v>
      </c>
      <c r="E8" s="44" t="s">
        <v>307</v>
      </c>
    </row>
    <row r="9">
      <c r="A9" s="43" t="s">
        <v>201</v>
      </c>
      <c r="B9" s="43" t="s">
        <v>312</v>
      </c>
      <c r="C9" s="43" t="s">
        <v>313</v>
      </c>
      <c r="D9" s="43" t="s">
        <v>314</v>
      </c>
      <c r="E9" s="44" t="s">
        <v>307</v>
      </c>
    </row>
    <row r="10">
      <c r="A10" s="43" t="s">
        <v>201</v>
      </c>
      <c r="B10" s="43" t="s">
        <v>315</v>
      </c>
      <c r="C10" s="43" t="s">
        <v>316</v>
      </c>
      <c r="D10" s="43" t="s">
        <v>306</v>
      </c>
      <c r="E10" s="44" t="s">
        <v>317</v>
      </c>
    </row>
    <row r="11">
      <c r="A11" s="43" t="s">
        <v>201</v>
      </c>
      <c r="B11" s="43" t="s">
        <v>318</v>
      </c>
      <c r="C11" s="43" t="s">
        <v>319</v>
      </c>
      <c r="D11" s="43" t="s">
        <v>306</v>
      </c>
      <c r="E11" s="44" t="s">
        <v>320</v>
      </c>
    </row>
    <row r="12">
      <c r="A12" s="43" t="s">
        <v>201</v>
      </c>
      <c r="B12" s="43" t="s">
        <v>321</v>
      </c>
      <c r="C12" s="43" t="s">
        <v>322</v>
      </c>
      <c r="D12" s="43" t="s">
        <v>314</v>
      </c>
      <c r="E12" s="44" t="s">
        <v>320</v>
      </c>
    </row>
    <row r="13">
      <c r="A13" s="43" t="s">
        <v>201</v>
      </c>
      <c r="B13" s="43" t="s">
        <v>323</v>
      </c>
      <c r="C13" s="43" t="s">
        <v>324</v>
      </c>
      <c r="D13" s="43" t="s">
        <v>306</v>
      </c>
      <c r="E13" s="44" t="s">
        <v>325</v>
      </c>
    </row>
    <row r="14">
      <c r="A14" s="43" t="s">
        <v>201</v>
      </c>
      <c r="B14" s="43" t="s">
        <v>326</v>
      </c>
      <c r="C14" s="43" t="s">
        <v>327</v>
      </c>
      <c r="D14" s="43" t="s">
        <v>306</v>
      </c>
      <c r="E14" s="44" t="s">
        <v>328</v>
      </c>
    </row>
    <row r="15">
      <c r="A15" s="43" t="s">
        <v>329</v>
      </c>
      <c r="B15" s="43" t="s">
        <v>330</v>
      </c>
      <c r="C15" s="43" t="s">
        <v>331</v>
      </c>
      <c r="D15" s="43" t="s">
        <v>332</v>
      </c>
      <c r="E15" s="44" t="s">
        <v>333</v>
      </c>
    </row>
    <row r="16">
      <c r="A16" s="43" t="s">
        <v>329</v>
      </c>
      <c r="B16" s="43" t="s">
        <v>334</v>
      </c>
      <c r="C16" s="43" t="s">
        <v>335</v>
      </c>
      <c r="D16" s="43" t="s">
        <v>332</v>
      </c>
      <c r="E16" s="44" t="s">
        <v>336</v>
      </c>
    </row>
    <row r="17">
      <c r="A17" s="43" t="s">
        <v>329</v>
      </c>
      <c r="B17" s="43" t="s">
        <v>337</v>
      </c>
      <c r="C17" s="43" t="s">
        <v>338</v>
      </c>
      <c r="D17" s="43" t="s">
        <v>332</v>
      </c>
      <c r="E17" s="44" t="s">
        <v>339</v>
      </c>
    </row>
    <row r="18">
      <c r="A18" s="43" t="s">
        <v>329</v>
      </c>
      <c r="B18" s="43" t="s">
        <v>340</v>
      </c>
      <c r="C18" s="43" t="s">
        <v>341</v>
      </c>
      <c r="D18" s="43" t="s">
        <v>332</v>
      </c>
      <c r="E18" s="44" t="s">
        <v>320</v>
      </c>
    </row>
    <row r="19">
      <c r="A19" s="43" t="s">
        <v>342</v>
      </c>
      <c r="B19" s="43" t="s">
        <v>343</v>
      </c>
      <c r="C19" s="43" t="s">
        <v>344</v>
      </c>
      <c r="D19" s="43" t="s">
        <v>345</v>
      </c>
      <c r="E19" s="44" t="s">
        <v>346</v>
      </c>
    </row>
    <row r="20">
      <c r="A20" s="43" t="s">
        <v>342</v>
      </c>
      <c r="B20" s="43" t="s">
        <v>347</v>
      </c>
      <c r="C20" s="43" t="s">
        <v>348</v>
      </c>
      <c r="D20" s="43" t="s">
        <v>345</v>
      </c>
      <c r="E20" s="44" t="s">
        <v>320</v>
      </c>
    </row>
    <row r="21" ht="15.75" customHeight="1">
      <c r="A21" s="43" t="s">
        <v>342</v>
      </c>
      <c r="B21" s="43" t="s">
        <v>349</v>
      </c>
      <c r="C21" s="43" t="s">
        <v>350</v>
      </c>
      <c r="D21" s="43" t="s">
        <v>345</v>
      </c>
      <c r="E21" s="44" t="s">
        <v>351</v>
      </c>
    </row>
    <row r="22" ht="15.75" customHeight="1">
      <c r="A22" s="43" t="s">
        <v>342</v>
      </c>
      <c r="B22" s="43" t="s">
        <v>352</v>
      </c>
      <c r="C22" s="43" t="s">
        <v>353</v>
      </c>
      <c r="D22" s="43" t="s">
        <v>345</v>
      </c>
      <c r="E22" s="44" t="s">
        <v>351</v>
      </c>
    </row>
    <row r="23" ht="15.75" customHeight="1">
      <c r="A23" s="43" t="s">
        <v>354</v>
      </c>
      <c r="B23" s="43" t="s">
        <v>355</v>
      </c>
      <c r="C23" s="43" t="s">
        <v>356</v>
      </c>
      <c r="D23" s="43" t="s">
        <v>357</v>
      </c>
      <c r="E23" s="44" t="s">
        <v>358</v>
      </c>
    </row>
    <row r="24" ht="15.75" customHeight="1">
      <c r="A24" s="43" t="s">
        <v>359</v>
      </c>
      <c r="B24" s="43" t="s">
        <v>360</v>
      </c>
      <c r="C24" s="43" t="s">
        <v>361</v>
      </c>
      <c r="D24" s="43" t="s">
        <v>362</v>
      </c>
      <c r="E24" s="44" t="s">
        <v>363</v>
      </c>
    </row>
    <row r="25" ht="15.75" customHeight="1">
      <c r="A25" s="43" t="s">
        <v>359</v>
      </c>
      <c r="B25" s="43" t="s">
        <v>364</v>
      </c>
      <c r="C25" s="43" t="s">
        <v>365</v>
      </c>
      <c r="D25" s="43" t="s">
        <v>362</v>
      </c>
      <c r="E25" s="44" t="s">
        <v>366</v>
      </c>
    </row>
    <row r="26" ht="15.75" customHeight="1">
      <c r="A26" s="43" t="s">
        <v>359</v>
      </c>
      <c r="B26" s="43" t="s">
        <v>367</v>
      </c>
      <c r="C26" s="43" t="s">
        <v>368</v>
      </c>
      <c r="D26" s="43" t="s">
        <v>314</v>
      </c>
      <c r="E26" s="44" t="s">
        <v>369</v>
      </c>
    </row>
    <row r="27" ht="15.75" customHeight="1">
      <c r="A27" s="43" t="s">
        <v>370</v>
      </c>
      <c r="B27" s="43" t="s">
        <v>371</v>
      </c>
      <c r="C27" s="43" t="s">
        <v>372</v>
      </c>
      <c r="D27" s="43" t="s">
        <v>373</v>
      </c>
      <c r="E27" s="44" t="s">
        <v>374</v>
      </c>
    </row>
    <row r="28" ht="15.75" customHeight="1">
      <c r="A28" s="43" t="s">
        <v>370</v>
      </c>
      <c r="B28" s="43" t="s">
        <v>375</v>
      </c>
      <c r="C28" s="43" t="s">
        <v>376</v>
      </c>
      <c r="D28" s="43" t="s">
        <v>373</v>
      </c>
      <c r="E28" s="44" t="s">
        <v>374</v>
      </c>
    </row>
    <row r="29" ht="15.75" customHeight="1">
      <c r="A29" s="43" t="s">
        <v>370</v>
      </c>
      <c r="B29" s="43" t="s">
        <v>377</v>
      </c>
      <c r="C29" s="43" t="s">
        <v>378</v>
      </c>
      <c r="D29" s="43" t="s">
        <v>379</v>
      </c>
      <c r="E29" s="44" t="s">
        <v>380</v>
      </c>
    </row>
    <row r="30" ht="15.75" customHeight="1">
      <c r="A30" s="43" t="s">
        <v>370</v>
      </c>
      <c r="B30" s="43" t="s">
        <v>381</v>
      </c>
      <c r="C30" s="43" t="s">
        <v>382</v>
      </c>
      <c r="D30" s="43" t="s">
        <v>383</v>
      </c>
      <c r="E30" s="44" t="s">
        <v>384</v>
      </c>
    </row>
    <row r="31" ht="15.75" customHeight="1">
      <c r="A31" s="43" t="s">
        <v>370</v>
      </c>
      <c r="B31" s="43" t="s">
        <v>385</v>
      </c>
      <c r="C31" s="43" t="s">
        <v>386</v>
      </c>
      <c r="D31" s="43" t="s">
        <v>387</v>
      </c>
      <c r="E31" s="44" t="s">
        <v>384</v>
      </c>
    </row>
    <row r="32" ht="15.75" customHeight="1">
      <c r="A32" s="43" t="s">
        <v>370</v>
      </c>
      <c r="B32" s="43" t="s">
        <v>388</v>
      </c>
      <c r="C32" s="43" t="s">
        <v>389</v>
      </c>
      <c r="D32" s="43" t="s">
        <v>383</v>
      </c>
      <c r="E32" s="44" t="s">
        <v>390</v>
      </c>
    </row>
    <row r="33" ht="15.75" customHeight="1">
      <c r="A33" s="43" t="s">
        <v>370</v>
      </c>
      <c r="B33" s="43" t="s">
        <v>391</v>
      </c>
      <c r="C33" s="43" t="s">
        <v>392</v>
      </c>
      <c r="D33" s="43" t="s">
        <v>393</v>
      </c>
      <c r="E33" s="44" t="s">
        <v>390</v>
      </c>
    </row>
    <row r="34" ht="15.75" customHeight="1">
      <c r="A34" s="43" t="s">
        <v>370</v>
      </c>
      <c r="B34" s="43" t="s">
        <v>394</v>
      </c>
      <c r="C34" s="43" t="s">
        <v>395</v>
      </c>
      <c r="D34" s="43" t="s">
        <v>396</v>
      </c>
      <c r="E34" s="44" t="s">
        <v>397</v>
      </c>
    </row>
    <row r="35" ht="15.75" customHeight="1">
      <c r="A35" s="43" t="s">
        <v>398</v>
      </c>
      <c r="B35" s="43" t="s">
        <v>399</v>
      </c>
      <c r="C35" s="43" t="s">
        <v>400</v>
      </c>
      <c r="D35" s="43" t="s">
        <v>401</v>
      </c>
      <c r="E35" s="44" t="s">
        <v>402</v>
      </c>
    </row>
    <row r="36" ht="15.75" customHeight="1">
      <c r="A36" s="43" t="s">
        <v>398</v>
      </c>
      <c r="B36" s="43" t="s">
        <v>403</v>
      </c>
      <c r="C36" s="43" t="s">
        <v>404</v>
      </c>
      <c r="D36" s="43" t="s">
        <v>401</v>
      </c>
      <c r="E36" s="44" t="s">
        <v>405</v>
      </c>
    </row>
    <row r="37" ht="15.75" customHeight="1">
      <c r="A37" s="43" t="s">
        <v>398</v>
      </c>
      <c r="B37" s="43" t="s">
        <v>406</v>
      </c>
      <c r="C37" s="43" t="s">
        <v>407</v>
      </c>
      <c r="D37" s="43" t="s">
        <v>401</v>
      </c>
      <c r="E37" s="44" t="s">
        <v>408</v>
      </c>
    </row>
    <row r="38" ht="15.75" customHeight="1">
      <c r="A38" s="43" t="s">
        <v>398</v>
      </c>
      <c r="B38" s="43" t="s">
        <v>409</v>
      </c>
      <c r="C38" s="43" t="s">
        <v>410</v>
      </c>
      <c r="D38" s="43" t="s">
        <v>187</v>
      </c>
      <c r="E38" s="44" t="s">
        <v>405</v>
      </c>
    </row>
    <row r="39" ht="15.75" customHeight="1">
      <c r="A39" s="43" t="s">
        <v>398</v>
      </c>
      <c r="B39" s="43" t="s">
        <v>411</v>
      </c>
      <c r="C39" s="43" t="s">
        <v>412</v>
      </c>
      <c r="D39" s="43" t="s">
        <v>413</v>
      </c>
      <c r="E39" s="44" t="s">
        <v>414</v>
      </c>
    </row>
    <row r="40" ht="15.75" customHeight="1">
      <c r="A40" s="43" t="s">
        <v>398</v>
      </c>
      <c r="B40" s="43" t="s">
        <v>415</v>
      </c>
      <c r="C40" s="43" t="s">
        <v>416</v>
      </c>
      <c r="D40" s="43" t="s">
        <v>417</v>
      </c>
      <c r="E40" s="44" t="s">
        <v>418</v>
      </c>
    </row>
    <row r="41" ht="15.75" customHeight="1">
      <c r="A41" s="43" t="s">
        <v>398</v>
      </c>
      <c r="B41" s="43" t="s">
        <v>419</v>
      </c>
      <c r="C41" s="43" t="s">
        <v>420</v>
      </c>
      <c r="D41" s="43" t="s">
        <v>421</v>
      </c>
      <c r="E41" s="44" t="s">
        <v>422</v>
      </c>
    </row>
    <row r="42" ht="15.75" customHeight="1"/>
    <row r="43" ht="15.75" customHeight="1">
      <c r="A43" s="3" t="s">
        <v>423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2026-08-26T15:07:08Z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